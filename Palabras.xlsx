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pol\Documents\_Nueva vida\Matete - ultima version\"/>
    </mc:Choice>
  </mc:AlternateContent>
  <xr:revisionPtr revIDLastSave="0" documentId="13_ncr:8001_{C9A45789-3051-4C09-B3C6-57EF3314B881}" xr6:coauthVersionLast="47" xr6:coauthVersionMax="47" xr10:uidLastSave="{00000000-0000-0000-0000-000000000000}"/>
  <bookViews>
    <workbookView xWindow="-120" yWindow="-120" windowWidth="20730" windowHeight="11040" xr2:uid="{98FCA1D3-B6FB-46A2-803E-FE5E6F32F6F4}"/>
  </bookViews>
  <sheets>
    <sheet name="Hoja1" sheetId="1" r:id="rId1"/>
    <sheet name="Mensajes" sheetId="2" r:id="rId2"/>
  </sheets>
  <definedNames>
    <definedName name="_xlnm._FilterDatabase" localSheetId="0" hidden="1">Hoja1!$A$1:$U$489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L26" i="1"/>
  <c r="C26" i="1"/>
  <c r="L14" i="1"/>
  <c r="D14" i="1" s="1"/>
  <c r="C14" i="1"/>
  <c r="B3" i="1"/>
  <c r="B4" i="1" s="1"/>
  <c r="C316" i="1"/>
  <c r="C463" i="1"/>
  <c r="C368" i="1"/>
  <c r="C346" i="1"/>
  <c r="C438" i="1"/>
  <c r="C218" i="1"/>
  <c r="C464" i="1"/>
  <c r="C197" i="1"/>
  <c r="C338" i="1"/>
  <c r="C392" i="1"/>
  <c r="C200" i="1"/>
  <c r="C159" i="1"/>
  <c r="C158" i="1"/>
  <c r="C269" i="1"/>
  <c r="C370" i="1"/>
  <c r="C190" i="1"/>
  <c r="C383" i="1"/>
  <c r="C236" i="1"/>
  <c r="C356" i="1"/>
  <c r="C330" i="1"/>
  <c r="C357" i="1"/>
  <c r="C249" i="1"/>
  <c r="C375" i="1"/>
  <c r="C183" i="1"/>
  <c r="C351" i="1"/>
  <c r="C349" i="1"/>
  <c r="C294" i="1"/>
  <c r="C268" i="1"/>
  <c r="C486" i="1"/>
  <c r="C312" i="1"/>
  <c r="C271" i="1"/>
  <c r="C448" i="1"/>
  <c r="C465" i="1"/>
  <c r="C302" i="1"/>
  <c r="C128" i="1"/>
  <c r="C194" i="1"/>
  <c r="C150" i="1"/>
  <c r="C196" i="1"/>
  <c r="C345" i="1"/>
  <c r="C184" i="1"/>
  <c r="C154" i="1"/>
  <c r="C473" i="1"/>
  <c r="C110" i="1"/>
  <c r="C322" i="1"/>
  <c r="C132" i="1"/>
  <c r="C277" i="1"/>
  <c r="C272" i="1"/>
  <c r="C263" i="1"/>
  <c r="C219" i="1"/>
  <c r="C191" i="1"/>
  <c r="C450" i="1"/>
  <c r="C282" i="1"/>
  <c r="C372" i="1"/>
  <c r="C215" i="1"/>
  <c r="C166" i="1"/>
  <c r="C340" i="1"/>
  <c r="C120" i="1"/>
  <c r="C126" i="1"/>
  <c r="C203" i="1"/>
  <c r="C352" i="1"/>
  <c r="C245" i="1"/>
  <c r="C266" i="1"/>
  <c r="C434" i="1"/>
  <c r="C146" i="1"/>
  <c r="C108" i="1"/>
  <c r="C134" i="1"/>
  <c r="C323" i="1"/>
  <c r="C456" i="1"/>
  <c r="C362" i="1"/>
  <c r="C445" i="1"/>
  <c r="C344" i="1"/>
  <c r="C118" i="1"/>
  <c r="C94" i="1"/>
  <c r="C232" i="1"/>
  <c r="C472" i="1"/>
  <c r="C239" i="1"/>
  <c r="C310" i="1"/>
  <c r="C379" i="1"/>
  <c r="C175" i="1"/>
  <c r="C480" i="1"/>
  <c r="C121" i="1"/>
  <c r="C404" i="1"/>
  <c r="C318" i="1"/>
  <c r="C315" i="1"/>
  <c r="C177" i="1"/>
  <c r="C358" i="1"/>
  <c r="C377" i="1"/>
  <c r="C422" i="1"/>
  <c r="C329" i="1"/>
  <c r="C248" i="1"/>
  <c r="C449" i="1"/>
  <c r="C382" i="1"/>
  <c r="C164" i="1"/>
  <c r="C284" i="1"/>
  <c r="C477" i="1"/>
  <c r="C426" i="1"/>
  <c r="C112" i="1"/>
  <c r="C231" i="1"/>
  <c r="C119" i="1"/>
  <c r="C205" i="1"/>
  <c r="C304" i="1"/>
  <c r="C254" i="1"/>
  <c r="C122" i="1"/>
  <c r="C307" i="1"/>
  <c r="C457" i="1"/>
  <c r="C151" i="1"/>
  <c r="C251" i="1"/>
  <c r="C160" i="1"/>
  <c r="C331" i="1"/>
  <c r="C401" i="1"/>
  <c r="C482" i="1"/>
  <c r="C425" i="1"/>
  <c r="C444" i="1"/>
  <c r="C360" i="1"/>
  <c r="C398" i="1"/>
  <c r="C149" i="1"/>
  <c r="C419" i="1"/>
  <c r="C485" i="1"/>
  <c r="C279" i="1"/>
  <c r="C301" i="1"/>
  <c r="C115" i="1"/>
  <c r="C417" i="1"/>
  <c r="C247" i="1"/>
  <c r="C378" i="1"/>
  <c r="C470" i="1"/>
  <c r="C353" i="1"/>
  <c r="C283" i="1"/>
  <c r="C173" i="1"/>
  <c r="C280" i="1"/>
  <c r="C230" i="1"/>
  <c r="C440" i="1"/>
  <c r="C306" i="1"/>
  <c r="C447" i="1"/>
  <c r="C202" i="1"/>
  <c r="C138" i="1"/>
  <c r="C286" i="1"/>
  <c r="C187" i="1"/>
  <c r="C250" i="1"/>
  <c r="C453" i="1"/>
  <c r="C161" i="1"/>
  <c r="C278" i="1"/>
  <c r="C168" i="1"/>
  <c r="C172" i="1"/>
  <c r="C291" i="1"/>
  <c r="C361" i="1"/>
  <c r="C468" i="1"/>
  <c r="C371" i="1"/>
  <c r="C319" i="1"/>
  <c r="C420" i="1"/>
  <c r="C421" i="1"/>
  <c r="C257" i="1"/>
  <c r="C309" i="1"/>
  <c r="C386" i="1"/>
  <c r="C143" i="1"/>
  <c r="C189" i="1"/>
  <c r="C142" i="1"/>
  <c r="C97" i="1"/>
  <c r="C171" i="1"/>
  <c r="C274" i="1"/>
  <c r="C339" i="1"/>
  <c r="C2" i="1"/>
  <c r="C428" i="1"/>
  <c r="C155" i="1"/>
  <c r="C237" i="1"/>
  <c r="C467" i="1"/>
  <c r="C199" i="1"/>
  <c r="C327" i="1"/>
  <c r="C125" i="1"/>
  <c r="C296" i="1"/>
  <c r="C367" i="1"/>
  <c r="C91" i="1"/>
  <c r="C111" i="1"/>
  <c r="C198" i="1"/>
  <c r="C489" i="1"/>
  <c r="C326" i="1"/>
  <c r="C298" i="1"/>
  <c r="C466" i="1"/>
  <c r="C363" i="1"/>
  <c r="C130" i="1"/>
  <c r="C389" i="1"/>
  <c r="C255" i="1"/>
  <c r="C224" i="1"/>
  <c r="C364" i="1"/>
  <c r="C281" i="1"/>
  <c r="C476" i="1"/>
  <c r="C208" i="1"/>
  <c r="C418" i="1"/>
  <c r="C273" i="1"/>
  <c r="C462" i="1"/>
  <c r="C332" i="1"/>
  <c r="C320" i="1"/>
  <c r="C437" i="1"/>
  <c r="C289" i="1"/>
  <c r="C117" i="1"/>
  <c r="C235" i="1"/>
  <c r="C157" i="1"/>
  <c r="C424" i="1"/>
  <c r="C407" i="1"/>
  <c r="C258" i="1"/>
  <c r="C384" i="1"/>
  <c r="C193" i="1"/>
  <c r="C484" i="1"/>
  <c r="C478" i="1"/>
  <c r="C381" i="1"/>
  <c r="C243" i="1"/>
  <c r="C103" i="1"/>
  <c r="C223" i="1"/>
  <c r="C366" i="1"/>
  <c r="C169" i="1"/>
  <c r="C325" i="1"/>
  <c r="C275" i="1"/>
  <c r="C217" i="1"/>
  <c r="C262" i="1"/>
  <c r="C342" i="1"/>
  <c r="C460" i="1"/>
  <c r="C99" i="1"/>
  <c r="C394" i="1"/>
  <c r="C334" i="1"/>
  <c r="C181" i="1"/>
  <c r="C305" i="1"/>
  <c r="C290" i="1"/>
  <c r="C410" i="1"/>
  <c r="C335" i="1"/>
  <c r="C214" i="1"/>
  <c r="C416" i="1"/>
  <c r="C409" i="1"/>
  <c r="C443" i="1"/>
  <c r="C276" i="1"/>
  <c r="C333" i="1"/>
  <c r="C260" i="1"/>
  <c r="C406" i="1"/>
  <c r="C213" i="1"/>
  <c r="C210" i="1"/>
  <c r="C287" i="1"/>
  <c r="C96" i="1"/>
  <c r="C153" i="1"/>
  <c r="C303" i="1"/>
  <c r="C393" i="1"/>
  <c r="C226" i="1"/>
  <c r="C390" i="1"/>
  <c r="C109" i="1"/>
  <c r="C144" i="1"/>
  <c r="C481" i="1"/>
  <c r="C225" i="1"/>
  <c r="C487" i="1"/>
  <c r="C365" i="1"/>
  <c r="C403" i="1"/>
  <c r="C101" i="1"/>
  <c r="C211" i="1"/>
  <c r="C267" i="1"/>
  <c r="C165" i="1"/>
  <c r="C343" i="1"/>
  <c r="C156" i="1"/>
  <c r="C475" i="1"/>
  <c r="C261" i="1"/>
  <c r="C176" i="1"/>
  <c r="C233" i="1"/>
  <c r="C439" i="1"/>
  <c r="C195" i="1"/>
  <c r="C131" i="1"/>
  <c r="C292" i="1"/>
  <c r="C167" i="1"/>
  <c r="C234" i="1"/>
  <c r="C259" i="1"/>
  <c r="C455" i="1"/>
  <c r="C242" i="1"/>
  <c r="C479" i="1"/>
  <c r="C324" i="1"/>
  <c r="C162" i="1"/>
  <c r="C244" i="1"/>
  <c r="C300" i="1"/>
  <c r="C400" i="1"/>
  <c r="C240" i="1"/>
  <c r="C399" i="1"/>
  <c r="C145" i="1"/>
  <c r="C123" i="1"/>
  <c r="C178" i="1"/>
  <c r="C221" i="1"/>
  <c r="C395" i="1"/>
  <c r="C391" i="1"/>
  <c r="C222" i="1"/>
  <c r="C435" i="1"/>
  <c r="C136" i="1"/>
  <c r="C429" i="1"/>
  <c r="C433" i="1"/>
  <c r="C116" i="1"/>
  <c r="C412" i="1"/>
  <c r="C182" i="1"/>
  <c r="C238" i="1"/>
  <c r="C102" i="1"/>
  <c r="C369" i="1"/>
  <c r="C270" i="1"/>
  <c r="C100" i="1"/>
  <c r="C98" i="1"/>
  <c r="C297" i="1"/>
  <c r="C483" i="1"/>
  <c r="C293" i="1"/>
  <c r="C427" i="1"/>
  <c r="C311" i="1"/>
  <c r="C170" i="1"/>
  <c r="C308" i="1"/>
  <c r="C359" i="1"/>
  <c r="C252" i="1"/>
  <c r="C350" i="1"/>
  <c r="C388" i="1"/>
  <c r="C127" i="1"/>
  <c r="C241" i="1"/>
  <c r="C299" i="1"/>
  <c r="C256" i="1"/>
  <c r="C321" i="1"/>
  <c r="C341" i="1"/>
  <c r="C93" i="1"/>
  <c r="C135" i="1"/>
  <c r="C174" i="1"/>
  <c r="C220" i="1"/>
  <c r="C474" i="1"/>
  <c r="C396" i="1"/>
  <c r="C212" i="1"/>
  <c r="C137" i="1"/>
  <c r="C188" i="1"/>
  <c r="C413" i="1"/>
  <c r="C380" i="1"/>
  <c r="C207" i="1"/>
  <c r="C139" i="1"/>
  <c r="C148" i="1"/>
  <c r="C376" i="1"/>
  <c r="C179" i="1"/>
  <c r="C355" i="1"/>
  <c r="C185" i="1"/>
  <c r="C114" i="1"/>
  <c r="C201" i="1"/>
  <c r="C107" i="1"/>
  <c r="C436" i="1"/>
  <c r="C206" i="1"/>
  <c r="C397" i="1"/>
  <c r="C192" i="1"/>
  <c r="C328" i="1"/>
  <c r="C408" i="1"/>
  <c r="C336" i="1"/>
  <c r="C432" i="1"/>
  <c r="C431" i="1"/>
  <c r="C152" i="1"/>
  <c r="C488" i="1"/>
  <c r="C446" i="1"/>
  <c r="C317" i="1"/>
  <c r="C414" i="1"/>
  <c r="C288" i="1"/>
  <c r="C106" i="1"/>
  <c r="C459" i="1"/>
  <c r="C442" i="1"/>
  <c r="C92" i="1"/>
  <c r="C228" i="1"/>
  <c r="C471" i="1"/>
  <c r="C180" i="1"/>
  <c r="C113" i="1"/>
  <c r="C265" i="1"/>
  <c r="C314" i="1"/>
  <c r="C227" i="1"/>
  <c r="C337" i="1"/>
  <c r="C411" i="1"/>
  <c r="C246" i="1"/>
  <c r="C348" i="1"/>
  <c r="C313" i="1"/>
  <c r="C347" i="1"/>
  <c r="C469" i="1"/>
  <c r="C264" i="1"/>
  <c r="C461" i="1"/>
  <c r="C295" i="1"/>
  <c r="C373" i="1"/>
  <c r="C129" i="1"/>
  <c r="C253" i="1"/>
  <c r="C104" i="1"/>
  <c r="C402" i="1"/>
  <c r="C441" i="1"/>
  <c r="C354" i="1"/>
  <c r="C415" i="1"/>
  <c r="C385" i="1"/>
  <c r="C133" i="1"/>
  <c r="C423" i="1"/>
  <c r="C204" i="1"/>
  <c r="C147" i="1"/>
  <c r="C458" i="1"/>
  <c r="C95" i="1"/>
  <c r="C374" i="1"/>
  <c r="C452" i="1"/>
  <c r="C229" i="1"/>
  <c r="C141" i="1"/>
  <c r="C124" i="1"/>
  <c r="C451" i="1"/>
  <c r="C209" i="1"/>
  <c r="C140" i="1"/>
  <c r="C216" i="1"/>
  <c r="C163" i="1"/>
  <c r="C405" i="1"/>
  <c r="C105" i="1"/>
  <c r="C186" i="1"/>
  <c r="C430" i="1"/>
  <c r="C5" i="1"/>
  <c r="L236" i="1"/>
  <c r="L356" i="1"/>
  <c r="L330" i="1"/>
  <c r="L76" i="1"/>
  <c r="L357" i="1"/>
  <c r="L249" i="1"/>
  <c r="D249" i="1" s="1"/>
  <c r="L375" i="1"/>
  <c r="L183" i="1"/>
  <c r="L47" i="1"/>
  <c r="L351" i="1"/>
  <c r="D351" i="1" s="1"/>
  <c r="L349" i="1"/>
  <c r="L294" i="1"/>
  <c r="L75" i="1"/>
  <c r="L268" i="1"/>
  <c r="L486" i="1"/>
  <c r="L28" i="1"/>
  <c r="L312" i="1"/>
  <c r="L23" i="1"/>
  <c r="D23" i="1" s="1"/>
  <c r="L271" i="1"/>
  <c r="L448" i="1"/>
  <c r="L465" i="1"/>
  <c r="D465" i="1" s="1"/>
  <c r="L49" i="1"/>
  <c r="L302" i="1"/>
  <c r="L128" i="1"/>
  <c r="D128" i="1" s="1"/>
  <c r="L194" i="1"/>
  <c r="L150" i="1"/>
  <c r="D150" i="1" s="1"/>
  <c r="L196" i="1"/>
  <c r="L345" i="1"/>
  <c r="D345" i="1" s="1"/>
  <c r="L184" i="1"/>
  <c r="D184" i="1" s="1"/>
  <c r="L154" i="1"/>
  <c r="D154" i="1" s="1"/>
  <c r="L473" i="1"/>
  <c r="D473" i="1" s="1"/>
  <c r="L110" i="1"/>
  <c r="L322" i="1"/>
  <c r="L132" i="1"/>
  <c r="L41" i="1"/>
  <c r="L277" i="1"/>
  <c r="L43" i="1"/>
  <c r="L79" i="1"/>
  <c r="L272" i="1"/>
  <c r="L263" i="1"/>
  <c r="L11" i="1"/>
  <c r="D11" i="1" s="1"/>
  <c r="L219" i="1"/>
  <c r="D219" i="1" s="1"/>
  <c r="L191" i="1"/>
  <c r="L450" i="1"/>
  <c r="L282" i="1"/>
  <c r="L372" i="1"/>
  <c r="L215" i="1"/>
  <c r="L166" i="1"/>
  <c r="L340" i="1"/>
  <c r="L120" i="1"/>
  <c r="D120" i="1" s="1"/>
  <c r="L126" i="1"/>
  <c r="L203" i="1"/>
  <c r="D203" i="1" s="1"/>
  <c r="L352" i="1"/>
  <c r="D352" i="1" s="1"/>
  <c r="L245" i="1"/>
  <c r="L36" i="1"/>
  <c r="L266" i="1"/>
  <c r="L57" i="1"/>
  <c r="L434" i="1"/>
  <c r="D434" i="1" s="1"/>
  <c r="L146" i="1"/>
  <c r="D146" i="1" s="1"/>
  <c r="L108" i="1"/>
  <c r="L134" i="1"/>
  <c r="D134" i="1" s="1"/>
  <c r="L323" i="1"/>
  <c r="D323" i="1" s="1"/>
  <c r="L456" i="1"/>
  <c r="L362" i="1"/>
  <c r="L445" i="1"/>
  <c r="L344" i="1"/>
  <c r="D344" i="1" s="1"/>
  <c r="L81" i="1"/>
  <c r="L118" i="1"/>
  <c r="L94" i="1"/>
  <c r="D94" i="1" s="1"/>
  <c r="L232" i="1"/>
  <c r="L32" i="1"/>
  <c r="D32" i="1" s="1"/>
  <c r="L35" i="1"/>
  <c r="L472" i="1"/>
  <c r="L239" i="1"/>
  <c r="D239" i="1" s="1"/>
  <c r="L310" i="1"/>
  <c r="L379" i="1"/>
  <c r="L175" i="1"/>
  <c r="D175" i="1" s="1"/>
  <c r="L77" i="1"/>
  <c r="D77" i="1" s="1"/>
  <c r="L480" i="1"/>
  <c r="L121" i="1"/>
  <c r="L404" i="1"/>
  <c r="L318" i="1"/>
  <c r="D318" i="1" s="1"/>
  <c r="L315" i="1"/>
  <c r="L177" i="1"/>
  <c r="L358" i="1"/>
  <c r="D358" i="1" s="1"/>
  <c r="L377" i="1"/>
  <c r="D377" i="1" s="1"/>
  <c r="L422" i="1"/>
  <c r="L329" i="1"/>
  <c r="D329" i="1" s="1"/>
  <c r="L248" i="1"/>
  <c r="L449" i="1"/>
  <c r="D449" i="1" s="1"/>
  <c r="L382" i="1"/>
  <c r="L164" i="1"/>
  <c r="L34" i="1"/>
  <c r="D34" i="1" s="1"/>
  <c r="L284" i="1"/>
  <c r="L477" i="1"/>
  <c r="L426" i="1"/>
  <c r="L112" i="1"/>
  <c r="L231" i="1"/>
  <c r="D231" i="1" s="1"/>
  <c r="L119" i="1"/>
  <c r="L10" i="1"/>
  <c r="D10" i="1" s="1"/>
  <c r="L205" i="1"/>
  <c r="L304" i="1"/>
  <c r="L254" i="1"/>
  <c r="L122" i="1"/>
  <c r="D122" i="1" s="1"/>
  <c r="L307" i="1"/>
  <c r="D307" i="1" s="1"/>
  <c r="L457" i="1"/>
  <c r="D457" i="1" s="1"/>
  <c r="L151" i="1"/>
  <c r="L86" i="1"/>
  <c r="L45" i="1"/>
  <c r="D45" i="1" s="1"/>
  <c r="L251" i="1"/>
  <c r="D251" i="1" s="1"/>
  <c r="L160" i="1"/>
  <c r="D160" i="1" s="1"/>
  <c r="L331" i="1"/>
  <c r="D331" i="1" s="1"/>
  <c r="L401" i="1"/>
  <c r="L482" i="1"/>
  <c r="D482" i="1" s="1"/>
  <c r="F482" i="1" s="1"/>
  <c r="L48" i="1"/>
  <c r="D48" i="1" s="1"/>
  <c r="L425" i="1"/>
  <c r="D425" i="1" s="1"/>
  <c r="L444" i="1"/>
  <c r="L360" i="1"/>
  <c r="L398" i="1"/>
  <c r="L38" i="1"/>
  <c r="D38" i="1" s="1"/>
  <c r="L149" i="1"/>
  <c r="L419" i="1"/>
  <c r="D419" i="1" s="1"/>
  <c r="L485" i="1"/>
  <c r="L279" i="1"/>
  <c r="L301" i="1"/>
  <c r="L115" i="1"/>
  <c r="L64" i="1"/>
  <c r="D64" i="1" s="1"/>
  <c r="L417" i="1"/>
  <c r="D417" i="1" s="1"/>
  <c r="L247" i="1"/>
  <c r="L378" i="1"/>
  <c r="D378" i="1" s="1"/>
  <c r="L470" i="1"/>
  <c r="L25" i="1"/>
  <c r="D25" i="1" s="1"/>
  <c r="L353" i="1"/>
  <c r="D353" i="1" s="1"/>
  <c r="L31" i="1"/>
  <c r="L283" i="1"/>
  <c r="D283" i="1" s="1"/>
  <c r="L12" i="1"/>
  <c r="D12" i="1" s="1"/>
  <c r="L173" i="1"/>
  <c r="L53" i="1"/>
  <c r="D53" i="1" s="1"/>
  <c r="L280" i="1"/>
  <c r="L230" i="1"/>
  <c r="L440" i="1"/>
  <c r="D440" i="1" s="1"/>
  <c r="L306" i="1"/>
  <c r="L447" i="1"/>
  <c r="L202" i="1"/>
  <c r="L138" i="1"/>
  <c r="D138" i="1" s="1"/>
  <c r="L286" i="1"/>
  <c r="D286" i="1" s="1"/>
  <c r="L187" i="1"/>
  <c r="L250" i="1"/>
  <c r="L453" i="1"/>
  <c r="L161" i="1"/>
  <c r="L278" i="1"/>
  <c r="L168" i="1"/>
  <c r="D168" i="1" s="1"/>
  <c r="L172" i="1"/>
  <c r="L291" i="1"/>
  <c r="D291" i="1" s="1"/>
  <c r="L361" i="1"/>
  <c r="D361" i="1" s="1"/>
  <c r="L468" i="1"/>
  <c r="L371" i="1"/>
  <c r="D371" i="1" s="1"/>
  <c r="L319" i="1"/>
  <c r="D319" i="1" s="1"/>
  <c r="L420" i="1"/>
  <c r="L421" i="1"/>
  <c r="L257" i="1"/>
  <c r="L309" i="1"/>
  <c r="L90" i="1"/>
  <c r="D90" i="1" s="1"/>
  <c r="L20" i="1"/>
  <c r="L386" i="1"/>
  <c r="L143" i="1"/>
  <c r="L189" i="1"/>
  <c r="L30" i="1"/>
  <c r="D30" i="1" s="1"/>
  <c r="L142" i="1"/>
  <c r="L97" i="1"/>
  <c r="L171" i="1"/>
  <c r="L56" i="1"/>
  <c r="D56" i="1" s="1"/>
  <c r="L274" i="1"/>
  <c r="L339" i="1"/>
  <c r="D339" i="1" s="1"/>
  <c r="L55" i="1"/>
  <c r="L2" i="1"/>
  <c r="D2" i="1" s="1"/>
  <c r="L428" i="1"/>
  <c r="L155" i="1"/>
  <c r="L4" i="1"/>
  <c r="D4" i="1" s="1"/>
  <c r="L237" i="1"/>
  <c r="L68" i="1"/>
  <c r="L59" i="1"/>
  <c r="L66" i="1"/>
  <c r="D66" i="1" s="1"/>
  <c r="L467" i="1"/>
  <c r="D467" i="1" s="1"/>
  <c r="L199" i="1"/>
  <c r="L327" i="1"/>
  <c r="L125" i="1"/>
  <c r="L296" i="1"/>
  <c r="L367" i="1"/>
  <c r="L91" i="1"/>
  <c r="L111" i="1"/>
  <c r="L46" i="1"/>
  <c r="L198" i="1"/>
  <c r="L489" i="1"/>
  <c r="L326" i="1"/>
  <c r="L298" i="1"/>
  <c r="L466" i="1"/>
  <c r="L84" i="1"/>
  <c r="L363" i="1"/>
  <c r="D363" i="1" s="1"/>
  <c r="L67" i="1"/>
  <c r="L130" i="1"/>
  <c r="D130" i="1" s="1"/>
  <c r="L389" i="1"/>
  <c r="L255" i="1"/>
  <c r="L71" i="1"/>
  <c r="L224" i="1"/>
  <c r="L364" i="1"/>
  <c r="L281" i="1"/>
  <c r="D281" i="1" s="1"/>
  <c r="L476" i="1"/>
  <c r="L208" i="1"/>
  <c r="L418" i="1"/>
  <c r="L273" i="1"/>
  <c r="D273" i="1" s="1"/>
  <c r="L462" i="1"/>
  <c r="L332" i="1"/>
  <c r="L52" i="1"/>
  <c r="L320" i="1"/>
  <c r="L437" i="1"/>
  <c r="L72" i="1"/>
  <c r="L289" i="1"/>
  <c r="D289" i="1" s="1"/>
  <c r="L117" i="1"/>
  <c r="L235" i="1"/>
  <c r="L89" i="1"/>
  <c r="L157" i="1"/>
  <c r="L424" i="1"/>
  <c r="L407" i="1"/>
  <c r="L17" i="1"/>
  <c r="D17" i="1" s="1"/>
  <c r="L258" i="1"/>
  <c r="L83" i="1"/>
  <c r="L384" i="1"/>
  <c r="L7" i="1"/>
  <c r="D7" i="1" s="1"/>
  <c r="L69" i="1"/>
  <c r="L193" i="1"/>
  <c r="D193" i="1" s="1"/>
  <c r="L484" i="1"/>
  <c r="L478" i="1"/>
  <c r="L40" i="1"/>
  <c r="D40" i="1" s="1"/>
  <c r="L9" i="1"/>
  <c r="D9" i="1" s="1"/>
  <c r="F9" i="1" s="1"/>
  <c r="L381" i="1"/>
  <c r="L243" i="1"/>
  <c r="L103" i="1"/>
  <c r="L223" i="1"/>
  <c r="L74" i="1"/>
  <c r="D74" i="1" s="1"/>
  <c r="L366" i="1"/>
  <c r="L169" i="1"/>
  <c r="L325" i="1"/>
  <c r="D325" i="1" s="1"/>
  <c r="F325" i="1" s="1"/>
  <c r="L275" i="1"/>
  <c r="D275" i="1" s="1"/>
  <c r="L51" i="1"/>
  <c r="L65" i="1"/>
  <c r="L217" i="1"/>
  <c r="D217" i="1" s="1"/>
  <c r="L262" i="1"/>
  <c r="L342" i="1"/>
  <c r="L460" i="1"/>
  <c r="L99" i="1"/>
  <c r="L394" i="1"/>
  <c r="L334" i="1"/>
  <c r="L181" i="1"/>
  <c r="L305" i="1"/>
  <c r="D305" i="1" s="1"/>
  <c r="L290" i="1"/>
  <c r="L410" i="1"/>
  <c r="L335" i="1"/>
  <c r="L214" i="1"/>
  <c r="L416" i="1"/>
  <c r="L409" i="1"/>
  <c r="D409" i="1" s="1"/>
  <c r="L443" i="1"/>
  <c r="L276" i="1"/>
  <c r="L333" i="1"/>
  <c r="L260" i="1"/>
  <c r="L406" i="1"/>
  <c r="L213" i="1"/>
  <c r="L210" i="1"/>
  <c r="L287" i="1"/>
  <c r="L96" i="1"/>
  <c r="D96" i="1" s="1"/>
  <c r="L153" i="1"/>
  <c r="L303" i="1"/>
  <c r="L393" i="1"/>
  <c r="L226" i="1"/>
  <c r="L390" i="1"/>
  <c r="L109" i="1"/>
  <c r="L144" i="1"/>
  <c r="D144" i="1" s="1"/>
  <c r="L481" i="1"/>
  <c r="D481" i="1" s="1"/>
  <c r="L225" i="1"/>
  <c r="D225" i="1" s="1"/>
  <c r="L487" i="1"/>
  <c r="L365" i="1"/>
  <c r="L403" i="1"/>
  <c r="D403" i="1" s="1"/>
  <c r="L101" i="1"/>
  <c r="L211" i="1"/>
  <c r="D211" i="1" s="1"/>
  <c r="L267" i="1"/>
  <c r="D267" i="1" s="1"/>
  <c r="L165" i="1"/>
  <c r="L343" i="1"/>
  <c r="L156" i="1"/>
  <c r="L475" i="1"/>
  <c r="D475" i="1" s="1"/>
  <c r="L261" i="1"/>
  <c r="L176" i="1"/>
  <c r="D176" i="1" s="1"/>
  <c r="L233" i="1"/>
  <c r="D233" i="1" s="1"/>
  <c r="L439" i="1"/>
  <c r="L195" i="1"/>
  <c r="D195" i="1" s="1"/>
  <c r="L131" i="1"/>
  <c r="L292" i="1"/>
  <c r="L167" i="1"/>
  <c r="L234" i="1"/>
  <c r="L259" i="1"/>
  <c r="D259" i="1" s="1"/>
  <c r="L37" i="1"/>
  <c r="L16" i="1"/>
  <c r="L455" i="1"/>
  <c r="L242" i="1"/>
  <c r="L479" i="1"/>
  <c r="L324" i="1"/>
  <c r="L162" i="1"/>
  <c r="D162" i="1" s="1"/>
  <c r="L244" i="1"/>
  <c r="L300" i="1"/>
  <c r="L400" i="1"/>
  <c r="L240" i="1"/>
  <c r="L399" i="1"/>
  <c r="L145" i="1"/>
  <c r="L123" i="1"/>
  <c r="L178" i="1"/>
  <c r="L221" i="1"/>
  <c r="L395" i="1"/>
  <c r="D395" i="1" s="1"/>
  <c r="L391" i="1"/>
  <c r="L222" i="1"/>
  <c r="L60" i="1"/>
  <c r="L3" i="1"/>
  <c r="D3" i="1" s="1"/>
  <c r="L435" i="1"/>
  <c r="D435" i="1" s="1"/>
  <c r="L136" i="1"/>
  <c r="D136" i="1" s="1"/>
  <c r="L429" i="1"/>
  <c r="L433" i="1"/>
  <c r="D433" i="1" s="1"/>
  <c r="L24" i="1"/>
  <c r="L116" i="1"/>
  <c r="L412" i="1"/>
  <c r="L182" i="1"/>
  <c r="L33" i="1"/>
  <c r="L78" i="1"/>
  <c r="L238" i="1"/>
  <c r="L102" i="1"/>
  <c r="L369" i="1"/>
  <c r="D369" i="1" s="1"/>
  <c r="L270" i="1"/>
  <c r="L100" i="1"/>
  <c r="L98" i="1"/>
  <c r="L297" i="1"/>
  <c r="L483" i="1"/>
  <c r="L293" i="1"/>
  <c r="L427" i="1"/>
  <c r="L311" i="1"/>
  <c r="L170" i="1"/>
  <c r="L308" i="1"/>
  <c r="L359" i="1"/>
  <c r="L252" i="1"/>
  <c r="L8" i="1"/>
  <c r="D8" i="1" s="1"/>
  <c r="F8" i="1" s="1"/>
  <c r="L350" i="1"/>
  <c r="L388" i="1"/>
  <c r="L62" i="1"/>
  <c r="L127" i="1"/>
  <c r="L85" i="1"/>
  <c r="L241" i="1"/>
  <c r="D241" i="1" s="1"/>
  <c r="L299" i="1"/>
  <c r="D299" i="1" s="1"/>
  <c r="L256" i="1"/>
  <c r="L63" i="1"/>
  <c r="L321" i="1"/>
  <c r="D321" i="1" s="1"/>
  <c r="L80" i="1"/>
  <c r="D80" i="1" s="1"/>
  <c r="L341" i="1"/>
  <c r="L93" i="1"/>
  <c r="L135" i="1"/>
  <c r="L174" i="1"/>
  <c r="L220" i="1"/>
  <c r="L474" i="1"/>
  <c r="L396" i="1"/>
  <c r="L212" i="1"/>
  <c r="L137" i="1"/>
  <c r="L413" i="1"/>
  <c r="L380" i="1"/>
  <c r="L207" i="1"/>
  <c r="L139" i="1"/>
  <c r="L148" i="1"/>
  <c r="L376" i="1"/>
  <c r="L179" i="1"/>
  <c r="L355" i="1"/>
  <c r="L185" i="1"/>
  <c r="L114" i="1"/>
  <c r="L201" i="1"/>
  <c r="L6" i="1"/>
  <c r="D6" i="1" s="1"/>
  <c r="L107" i="1"/>
  <c r="L42" i="1"/>
  <c r="L436" i="1"/>
  <c r="L206" i="1"/>
  <c r="L397" i="1"/>
  <c r="L192" i="1"/>
  <c r="L328" i="1"/>
  <c r="L408" i="1"/>
  <c r="L27" i="1"/>
  <c r="L336" i="1"/>
  <c r="L432" i="1"/>
  <c r="L431" i="1"/>
  <c r="L152" i="1"/>
  <c r="D152" i="1" s="1"/>
  <c r="L488" i="1"/>
  <c r="L446" i="1"/>
  <c r="L88" i="1"/>
  <c r="D88" i="1" s="1"/>
  <c r="L317" i="1"/>
  <c r="L414" i="1"/>
  <c r="L58" i="1"/>
  <c r="L288" i="1"/>
  <c r="L106" i="1"/>
  <c r="L459" i="1"/>
  <c r="D459" i="1" s="1"/>
  <c r="L442" i="1"/>
  <c r="L92" i="1"/>
  <c r="L44" i="1"/>
  <c r="L18" i="1"/>
  <c r="L54" i="1"/>
  <c r="L22" i="1"/>
  <c r="L29" i="1"/>
  <c r="L228" i="1"/>
  <c r="L471" i="1"/>
  <c r="L180" i="1"/>
  <c r="L113" i="1"/>
  <c r="L265" i="1"/>
  <c r="D265" i="1" s="1"/>
  <c r="L70" i="1"/>
  <c r="L19" i="1"/>
  <c r="L314" i="1"/>
  <c r="L227" i="1"/>
  <c r="L13" i="1"/>
  <c r="L337" i="1"/>
  <c r="D337" i="1" s="1"/>
  <c r="L411" i="1"/>
  <c r="D411" i="1" s="1"/>
  <c r="L246" i="1"/>
  <c r="L348" i="1"/>
  <c r="L87" i="1"/>
  <c r="L82" i="1"/>
  <c r="D82" i="1" s="1"/>
  <c r="L15" i="1"/>
  <c r="D15" i="1" s="1"/>
  <c r="L313" i="1"/>
  <c r="L347" i="1"/>
  <c r="D347" i="1" s="1"/>
  <c r="L469" i="1"/>
  <c r="L264" i="1"/>
  <c r="L461" i="1"/>
  <c r="L295" i="1"/>
  <c r="L373" i="1"/>
  <c r="L129" i="1"/>
  <c r="L253" i="1"/>
  <c r="L104" i="1"/>
  <c r="D104" i="1" s="1"/>
  <c r="L402" i="1"/>
  <c r="L441" i="1"/>
  <c r="D441" i="1" s="1"/>
  <c r="L354" i="1"/>
  <c r="L73" i="1"/>
  <c r="L415" i="1"/>
  <c r="L385" i="1"/>
  <c r="D385" i="1" s="1"/>
  <c r="L133" i="1"/>
  <c r="L61" i="1"/>
  <c r="L423" i="1"/>
  <c r="L204" i="1"/>
  <c r="L147" i="1"/>
  <c r="L458" i="1"/>
  <c r="L316" i="1"/>
  <c r="L21" i="1"/>
  <c r="L463" i="1"/>
  <c r="L95" i="1"/>
  <c r="L368" i="1"/>
  <c r="L374" i="1"/>
  <c r="L346" i="1"/>
  <c r="L452" i="1"/>
  <c r="L438" i="1"/>
  <c r="L229" i="1"/>
  <c r="L218" i="1"/>
  <c r="L141" i="1"/>
  <c r="L464" i="1"/>
  <c r="L124" i="1"/>
  <c r="L197" i="1"/>
  <c r="L451" i="1"/>
  <c r="D451" i="1" s="1"/>
  <c r="L338" i="1"/>
  <c r="L285" i="1"/>
  <c r="L392" i="1"/>
  <c r="L209" i="1"/>
  <c r="D209" i="1" s="1"/>
  <c r="L200" i="1"/>
  <c r="L387" i="1"/>
  <c r="D387" i="1" s="1"/>
  <c r="L159" i="1"/>
  <c r="L140" i="1"/>
  <c r="L216" i="1"/>
  <c r="L163" i="1"/>
  <c r="L158" i="1"/>
  <c r="L405" i="1"/>
  <c r="L50" i="1"/>
  <c r="L105" i="1"/>
  <c r="L269" i="1"/>
  <c r="L186" i="1"/>
  <c r="L454" i="1"/>
  <c r="L370" i="1"/>
  <c r="L190" i="1"/>
  <c r="L39" i="1"/>
  <c r="L383" i="1"/>
  <c r="L430" i="1"/>
  <c r="L5" i="1"/>
  <c r="D5" i="1" s="1"/>
  <c r="L188" i="1"/>
  <c r="D188" i="1" s="1"/>
  <c r="F26" i="1" l="1"/>
  <c r="F14" i="1"/>
  <c r="D21" i="1"/>
  <c r="F21" i="1" s="1"/>
  <c r="D192" i="1"/>
  <c r="F192" i="1" s="1"/>
  <c r="D487" i="1"/>
  <c r="F487" i="1" s="1"/>
  <c r="D316" i="1"/>
  <c r="F316" i="1" s="1"/>
  <c r="D185" i="1"/>
  <c r="F185" i="1" s="1"/>
  <c r="D308" i="1"/>
  <c r="F308" i="1" s="1"/>
  <c r="D153" i="1"/>
  <c r="F153" i="1" s="1"/>
  <c r="D223" i="1"/>
  <c r="F223" i="1" s="1"/>
  <c r="D111" i="1"/>
  <c r="F111" i="1" s="1"/>
  <c r="D422" i="1"/>
  <c r="F422" i="1" s="1"/>
  <c r="D456" i="1"/>
  <c r="F456" i="1" s="1"/>
  <c r="D215" i="1"/>
  <c r="F215" i="1" s="1"/>
  <c r="D302" i="1"/>
  <c r="F302" i="1" s="1"/>
  <c r="D140" i="1"/>
  <c r="F140" i="1" s="1"/>
  <c r="F451" i="1"/>
  <c r="D452" i="1"/>
  <c r="F452" i="1" s="1"/>
  <c r="D458" i="1"/>
  <c r="F458" i="1" s="1"/>
  <c r="D73" i="1"/>
  <c r="F73" i="1" s="1"/>
  <c r="D295" i="1"/>
  <c r="F295" i="1" s="1"/>
  <c r="D87" i="1"/>
  <c r="F87" i="1" s="1"/>
  <c r="D19" i="1"/>
  <c r="F19" i="1" s="1"/>
  <c r="D22" i="1"/>
  <c r="F22" i="1" s="1"/>
  <c r="D288" i="1"/>
  <c r="F288" i="1" s="1"/>
  <c r="D431" i="1"/>
  <c r="F431" i="1" s="1"/>
  <c r="D206" i="1"/>
  <c r="F206" i="1" s="1"/>
  <c r="D137" i="1"/>
  <c r="F137" i="1" s="1"/>
  <c r="D341" i="1"/>
  <c r="F341" i="1" s="1"/>
  <c r="D127" i="1"/>
  <c r="F127" i="1" s="1"/>
  <c r="D270" i="1"/>
  <c r="F270" i="1" s="1"/>
  <c r="D116" i="1"/>
  <c r="F116" i="1" s="1"/>
  <c r="D222" i="1"/>
  <c r="F222" i="1" s="1"/>
  <c r="D240" i="1"/>
  <c r="F240" i="1" s="1"/>
  <c r="D455" i="1"/>
  <c r="F455" i="1" s="1"/>
  <c r="F195" i="1"/>
  <c r="D165" i="1"/>
  <c r="F165" i="1" s="1"/>
  <c r="D181" i="1"/>
  <c r="F181" i="1" s="1"/>
  <c r="D65" i="1"/>
  <c r="F65" i="1" s="1"/>
  <c r="D103" i="1"/>
  <c r="F103" i="1" s="1"/>
  <c r="D69" i="1"/>
  <c r="F69" i="1" s="1"/>
  <c r="D157" i="1"/>
  <c r="F157" i="1" s="1"/>
  <c r="D52" i="1"/>
  <c r="F52" i="1" s="1"/>
  <c r="D364" i="1"/>
  <c r="F364" i="1" s="1"/>
  <c r="D84" i="1"/>
  <c r="F84" i="1" s="1"/>
  <c r="D156" i="1"/>
  <c r="F156" i="1" s="1"/>
  <c r="D67" i="1"/>
  <c r="F67" i="1" s="1"/>
  <c r="D338" i="1"/>
  <c r="F338" i="1" s="1"/>
  <c r="D314" i="1"/>
  <c r="F314" i="1" s="1"/>
  <c r="D242" i="1"/>
  <c r="F242" i="1" s="1"/>
  <c r="D269" i="1"/>
  <c r="F269" i="1" s="1"/>
  <c r="D159" i="1"/>
  <c r="F159" i="1" s="1"/>
  <c r="D197" i="1"/>
  <c r="F197" i="1" s="1"/>
  <c r="D346" i="1"/>
  <c r="F346" i="1" s="1"/>
  <c r="D147" i="1"/>
  <c r="F147" i="1" s="1"/>
  <c r="D354" i="1"/>
  <c r="F354" i="1" s="1"/>
  <c r="D461" i="1"/>
  <c r="F461" i="1" s="1"/>
  <c r="D348" i="1"/>
  <c r="F348" i="1" s="1"/>
  <c r="D70" i="1"/>
  <c r="F70" i="1" s="1"/>
  <c r="D54" i="1"/>
  <c r="F54" i="1" s="1"/>
  <c r="D432" i="1"/>
  <c r="F432" i="1" s="1"/>
  <c r="D436" i="1"/>
  <c r="F436" i="1" s="1"/>
  <c r="D179" i="1"/>
  <c r="F179" i="1" s="1"/>
  <c r="D212" i="1"/>
  <c r="F212" i="1" s="1"/>
  <c r="D62" i="1"/>
  <c r="F62" i="1" s="1"/>
  <c r="D311" i="1"/>
  <c r="F311" i="1" s="1"/>
  <c r="D24" i="1"/>
  <c r="F24" i="1" s="1"/>
  <c r="D391" i="1"/>
  <c r="F391" i="1" s="1"/>
  <c r="D400" i="1"/>
  <c r="F400" i="1" s="1"/>
  <c r="D16" i="1"/>
  <c r="F16" i="1" s="1"/>
  <c r="D439" i="1"/>
  <c r="F439" i="1" s="1"/>
  <c r="F267" i="1"/>
  <c r="D287" i="1"/>
  <c r="F287" i="1" s="1"/>
  <c r="D334" i="1"/>
  <c r="F334" i="1" s="1"/>
  <c r="D51" i="1"/>
  <c r="F51" i="1" s="1"/>
  <c r="D89" i="1"/>
  <c r="F89" i="1" s="1"/>
  <c r="D332" i="1"/>
  <c r="F332" i="1" s="1"/>
  <c r="D224" i="1"/>
  <c r="F224" i="1" s="1"/>
  <c r="D466" i="1"/>
  <c r="F466" i="1" s="1"/>
  <c r="D367" i="1"/>
  <c r="F367" i="1" s="1"/>
  <c r="D163" i="1"/>
  <c r="F163" i="1" s="1"/>
  <c r="D380" i="1"/>
  <c r="F380" i="1" s="1"/>
  <c r="D476" i="1"/>
  <c r="F476" i="1" s="1"/>
  <c r="F82" i="1"/>
  <c r="D413" i="1"/>
  <c r="F413" i="1" s="1"/>
  <c r="D100" i="1"/>
  <c r="F100" i="1" s="1"/>
  <c r="D131" i="1"/>
  <c r="F131" i="1" s="1"/>
  <c r="D343" i="1"/>
  <c r="F343" i="1" s="1"/>
  <c r="D276" i="1"/>
  <c r="F276" i="1" s="1"/>
  <c r="F387" i="1"/>
  <c r="D374" i="1"/>
  <c r="F374" i="1" s="1"/>
  <c r="D204" i="1"/>
  <c r="F204" i="1" s="1"/>
  <c r="D388" i="1"/>
  <c r="F388" i="1" s="1"/>
  <c r="D102" i="1"/>
  <c r="F102" i="1" s="1"/>
  <c r="D109" i="1"/>
  <c r="F109" i="1" s="1"/>
  <c r="D210" i="1"/>
  <c r="F210" i="1" s="1"/>
  <c r="D416" i="1"/>
  <c r="F416" i="1" s="1"/>
  <c r="D394" i="1"/>
  <c r="F394" i="1" s="1"/>
  <c r="F275" i="1"/>
  <c r="D381" i="1"/>
  <c r="F381" i="1" s="1"/>
  <c r="D384" i="1"/>
  <c r="F384" i="1" s="1"/>
  <c r="D462" i="1"/>
  <c r="F462" i="1" s="1"/>
  <c r="D71" i="1"/>
  <c r="F71" i="1" s="1"/>
  <c r="D298" i="1"/>
  <c r="F298" i="1" s="1"/>
  <c r="D296" i="1"/>
  <c r="F296" i="1" s="1"/>
  <c r="D237" i="1"/>
  <c r="F237" i="1" s="1"/>
  <c r="D20" i="1"/>
  <c r="F20" i="1" s="1"/>
  <c r="D468" i="1"/>
  <c r="F468" i="1" s="1"/>
  <c r="D250" i="1"/>
  <c r="F250" i="1" s="1"/>
  <c r="D230" i="1"/>
  <c r="F230" i="1" s="1"/>
  <c r="D279" i="1"/>
  <c r="F279" i="1" s="1"/>
  <c r="D86" i="1"/>
  <c r="F86" i="1" s="1"/>
  <c r="D164" i="1"/>
  <c r="F164" i="1" s="1"/>
  <c r="D177" i="1"/>
  <c r="F177" i="1" s="1"/>
  <c r="D118" i="1"/>
  <c r="F118" i="1" s="1"/>
  <c r="D108" i="1"/>
  <c r="F108" i="1" s="1"/>
  <c r="F203" i="1"/>
  <c r="D450" i="1"/>
  <c r="F450" i="1" s="1"/>
  <c r="D277" i="1"/>
  <c r="F277" i="1" s="1"/>
  <c r="D448" i="1"/>
  <c r="F448" i="1" s="1"/>
  <c r="D294" i="1"/>
  <c r="F294" i="1" s="1"/>
  <c r="D76" i="1"/>
  <c r="F76" i="1" s="1"/>
  <c r="D98" i="1"/>
  <c r="F98" i="1" s="1"/>
  <c r="D227" i="1"/>
  <c r="F227" i="1" s="1"/>
  <c r="D355" i="1"/>
  <c r="F355" i="1" s="1"/>
  <c r="D484" i="1"/>
  <c r="F484" i="1" s="1"/>
  <c r="F459" i="1"/>
  <c r="D135" i="1"/>
  <c r="F135" i="1" s="1"/>
  <c r="D182" i="1"/>
  <c r="F182" i="1" s="1"/>
  <c r="D292" i="1"/>
  <c r="F292" i="1" s="1"/>
  <c r="D303" i="1"/>
  <c r="F303" i="1" s="1"/>
  <c r="D262" i="1"/>
  <c r="F262" i="1" s="1"/>
  <c r="D407" i="1"/>
  <c r="F407" i="1" s="1"/>
  <c r="F467" i="1"/>
  <c r="D85" i="1"/>
  <c r="F85" i="1" s="1"/>
  <c r="D60" i="1"/>
  <c r="F60" i="1" s="1"/>
  <c r="D320" i="1"/>
  <c r="F320" i="1" s="1"/>
  <c r="D398" i="1"/>
  <c r="F398" i="1" s="1"/>
  <c r="D477" i="1"/>
  <c r="F477" i="1" s="1"/>
  <c r="D272" i="1"/>
  <c r="F272" i="1" s="1"/>
  <c r="D430" i="1"/>
  <c r="F430" i="1" s="1"/>
  <c r="D105" i="1"/>
  <c r="F105" i="1" s="1"/>
  <c r="D124" i="1"/>
  <c r="F124" i="1" s="1"/>
  <c r="D264" i="1"/>
  <c r="F264" i="1" s="1"/>
  <c r="D246" i="1"/>
  <c r="F246" i="1" s="1"/>
  <c r="D18" i="1"/>
  <c r="F18" i="1" s="1"/>
  <c r="D414" i="1"/>
  <c r="F414" i="1" s="1"/>
  <c r="D336" i="1"/>
  <c r="F336" i="1" s="1"/>
  <c r="D376" i="1"/>
  <c r="F376" i="1" s="1"/>
  <c r="D396" i="1"/>
  <c r="F396" i="1" s="1"/>
  <c r="F395" i="1"/>
  <c r="D300" i="1"/>
  <c r="F300" i="1" s="1"/>
  <c r="D37" i="1"/>
  <c r="F37" i="1" s="1"/>
  <c r="F211" i="1"/>
  <c r="D383" i="1"/>
  <c r="F383" i="1" s="1"/>
  <c r="D200" i="1"/>
  <c r="F200" i="1" s="1"/>
  <c r="D464" i="1"/>
  <c r="F464" i="1" s="1"/>
  <c r="D368" i="1"/>
  <c r="F368" i="1" s="1"/>
  <c r="D423" i="1"/>
  <c r="F423" i="1" s="1"/>
  <c r="D402" i="1"/>
  <c r="F402" i="1" s="1"/>
  <c r="D469" i="1"/>
  <c r="F469" i="1" s="1"/>
  <c r="F411" i="1"/>
  <c r="D113" i="1"/>
  <c r="F113" i="1" s="1"/>
  <c r="D44" i="1"/>
  <c r="F44" i="1" s="1"/>
  <c r="D317" i="1"/>
  <c r="F317" i="1" s="1"/>
  <c r="D27" i="1"/>
  <c r="F27" i="1" s="1"/>
  <c r="D107" i="1"/>
  <c r="F107" i="1" s="1"/>
  <c r="D148" i="1"/>
  <c r="F148" i="1" s="1"/>
  <c r="D474" i="1"/>
  <c r="F474" i="1" s="1"/>
  <c r="D63" i="1"/>
  <c r="F63" i="1" s="1"/>
  <c r="D350" i="1"/>
  <c r="F350" i="1" s="1"/>
  <c r="D293" i="1"/>
  <c r="F293" i="1" s="1"/>
  <c r="D238" i="1"/>
  <c r="F238" i="1" s="1"/>
  <c r="D429" i="1"/>
  <c r="F429" i="1" s="1"/>
  <c r="D221" i="1"/>
  <c r="F221" i="1" s="1"/>
  <c r="D244" i="1"/>
  <c r="F244" i="1" s="1"/>
  <c r="F259" i="1"/>
  <c r="D101" i="1"/>
  <c r="F101" i="1" s="1"/>
  <c r="D390" i="1"/>
  <c r="F390" i="1" s="1"/>
  <c r="D213" i="1"/>
  <c r="F213" i="1" s="1"/>
  <c r="D214" i="1"/>
  <c r="F214" i="1" s="1"/>
  <c r="D99" i="1"/>
  <c r="F99" i="1" s="1"/>
  <c r="D83" i="1"/>
  <c r="F83" i="1" s="1"/>
  <c r="D117" i="1"/>
  <c r="F117" i="1" s="1"/>
  <c r="D255" i="1"/>
  <c r="F255" i="1" s="1"/>
  <c r="D326" i="1"/>
  <c r="F326" i="1" s="1"/>
  <c r="D125" i="1"/>
  <c r="F125" i="1" s="1"/>
  <c r="D171" i="1"/>
  <c r="F171" i="1" s="1"/>
  <c r="F90" i="1"/>
  <c r="D187" i="1"/>
  <c r="F187" i="1" s="1"/>
  <c r="D280" i="1"/>
  <c r="F280" i="1" s="1"/>
  <c r="D470" i="1"/>
  <c r="F470" i="1" s="1"/>
  <c r="D485" i="1"/>
  <c r="F485" i="1" s="1"/>
  <c r="D151" i="1"/>
  <c r="F151" i="1" s="1"/>
  <c r="D119" i="1"/>
  <c r="F119" i="1" s="1"/>
  <c r="D382" i="1"/>
  <c r="F382" i="1" s="1"/>
  <c r="D310" i="1"/>
  <c r="F310" i="1" s="1"/>
  <c r="D81" i="1"/>
  <c r="F81" i="1" s="1"/>
  <c r="F146" i="1"/>
  <c r="D126" i="1"/>
  <c r="F126" i="1" s="1"/>
  <c r="D191" i="1"/>
  <c r="F191" i="1" s="1"/>
  <c r="D41" i="1"/>
  <c r="F41" i="1" s="1"/>
  <c r="D196" i="1"/>
  <c r="F196" i="1" s="1"/>
  <c r="D271" i="1"/>
  <c r="F271" i="1" s="1"/>
  <c r="D349" i="1"/>
  <c r="F349" i="1" s="1"/>
  <c r="D330" i="1"/>
  <c r="F330" i="1" s="1"/>
  <c r="D42" i="1"/>
  <c r="F42" i="1" s="1"/>
  <c r="D106" i="1"/>
  <c r="F106" i="1" s="1"/>
  <c r="D170" i="1"/>
  <c r="F170" i="1" s="1"/>
  <c r="D235" i="1"/>
  <c r="F235" i="1" s="1"/>
  <c r="D427" i="1"/>
  <c r="F427" i="1" s="1"/>
  <c r="D370" i="1"/>
  <c r="F370" i="1" s="1"/>
  <c r="D229" i="1"/>
  <c r="F229" i="1" s="1"/>
  <c r="D129" i="1"/>
  <c r="F129" i="1" s="1"/>
  <c r="D228" i="1"/>
  <c r="F228" i="1" s="1"/>
  <c r="D488" i="1"/>
  <c r="F488" i="1" s="1"/>
  <c r="D359" i="1"/>
  <c r="F359" i="1" s="1"/>
  <c r="D479" i="1"/>
  <c r="F479" i="1" s="1"/>
  <c r="D290" i="1"/>
  <c r="F290" i="1" s="1"/>
  <c r="D216" i="1"/>
  <c r="F216" i="1" s="1"/>
  <c r="D415" i="1"/>
  <c r="F415" i="1" s="1"/>
  <c r="D29" i="1"/>
  <c r="F29" i="1" s="1"/>
  <c r="D93" i="1"/>
  <c r="F93" i="1" s="1"/>
  <c r="D399" i="1"/>
  <c r="F399" i="1" s="1"/>
  <c r="F363" i="1"/>
  <c r="D55" i="1"/>
  <c r="F55" i="1" s="1"/>
  <c r="D420" i="1"/>
  <c r="F420" i="1" s="1"/>
  <c r="D278" i="1"/>
  <c r="F278" i="1" s="1"/>
  <c r="F283" i="1"/>
  <c r="D254" i="1"/>
  <c r="F254" i="1" s="1"/>
  <c r="D36" i="1"/>
  <c r="F36" i="1" s="1"/>
  <c r="D39" i="1"/>
  <c r="F39" i="1" s="1"/>
  <c r="D405" i="1"/>
  <c r="F405" i="1" s="1"/>
  <c r="D141" i="1"/>
  <c r="F141" i="1" s="1"/>
  <c r="D95" i="1"/>
  <c r="F95" i="1" s="1"/>
  <c r="D61" i="1"/>
  <c r="F61" i="1" s="1"/>
  <c r="D92" i="1"/>
  <c r="F92" i="1" s="1"/>
  <c r="D408" i="1"/>
  <c r="F408" i="1" s="1"/>
  <c r="D139" i="1"/>
  <c r="F139" i="1" s="1"/>
  <c r="D483" i="1"/>
  <c r="F483" i="1" s="1"/>
  <c r="D78" i="1"/>
  <c r="F78" i="1" s="1"/>
  <c r="F162" i="1"/>
  <c r="D234" i="1"/>
  <c r="F234" i="1" s="1"/>
  <c r="F403" i="1"/>
  <c r="D226" i="1"/>
  <c r="F226" i="1" s="1"/>
  <c r="D406" i="1"/>
  <c r="F406" i="1" s="1"/>
  <c r="D335" i="1"/>
  <c r="F335" i="1" s="1"/>
  <c r="D460" i="1"/>
  <c r="F460" i="1" s="1"/>
  <c r="D169" i="1"/>
  <c r="F169" i="1" s="1"/>
  <c r="D258" i="1"/>
  <c r="F258" i="1" s="1"/>
  <c r="D418" i="1"/>
  <c r="F418" i="1" s="1"/>
  <c r="D389" i="1"/>
  <c r="F389" i="1" s="1"/>
  <c r="D489" i="1"/>
  <c r="F489" i="1" s="1"/>
  <c r="D327" i="1"/>
  <c r="F327" i="1" s="1"/>
  <c r="D155" i="1"/>
  <c r="F155" i="1" s="1"/>
  <c r="D97" i="1"/>
  <c r="F97" i="1" s="1"/>
  <c r="D309" i="1"/>
  <c r="F309" i="1" s="1"/>
  <c r="D50" i="1"/>
  <c r="F50" i="1" s="1"/>
  <c r="D114" i="1"/>
  <c r="F114" i="1" s="1"/>
  <c r="D178" i="1"/>
  <c r="F178" i="1" s="1"/>
  <c r="D243" i="1"/>
  <c r="F243" i="1" s="1"/>
  <c r="D285" i="1"/>
  <c r="F285" i="1" s="1"/>
  <c r="D145" i="1"/>
  <c r="F145" i="1" s="1"/>
  <c r="D333" i="1"/>
  <c r="F333" i="1" s="1"/>
  <c r="F74" i="1"/>
  <c r="D437" i="1"/>
  <c r="F437" i="1" s="1"/>
  <c r="D46" i="1"/>
  <c r="F46" i="1" s="1"/>
  <c r="D454" i="1"/>
  <c r="F454" i="1" s="1"/>
  <c r="D438" i="1"/>
  <c r="F438" i="1" s="1"/>
  <c r="D373" i="1"/>
  <c r="F373" i="1" s="1"/>
  <c r="D397" i="1"/>
  <c r="F397" i="1" s="1"/>
  <c r="D412" i="1"/>
  <c r="F412" i="1" s="1"/>
  <c r="D424" i="1"/>
  <c r="F424" i="1" s="1"/>
  <c r="F66" i="1"/>
  <c r="D189" i="1"/>
  <c r="F189" i="1" s="1"/>
  <c r="D447" i="1"/>
  <c r="F447" i="1" s="1"/>
  <c r="D480" i="1"/>
  <c r="F480" i="1" s="1"/>
  <c r="F347" i="1"/>
  <c r="D180" i="1"/>
  <c r="F180" i="1" s="1"/>
  <c r="D220" i="1"/>
  <c r="F220" i="1" s="1"/>
  <c r="D256" i="1"/>
  <c r="F256" i="1" s="1"/>
  <c r="D261" i="1"/>
  <c r="F261" i="1" s="1"/>
  <c r="D190" i="1"/>
  <c r="F190" i="1" s="1"/>
  <c r="D158" i="1"/>
  <c r="F158" i="1" s="1"/>
  <c r="D392" i="1"/>
  <c r="F392" i="1" s="1"/>
  <c r="D218" i="1"/>
  <c r="F218" i="1" s="1"/>
  <c r="D463" i="1"/>
  <c r="F463" i="1" s="1"/>
  <c r="D133" i="1"/>
  <c r="F133" i="1" s="1"/>
  <c r="D253" i="1"/>
  <c r="F253" i="1" s="1"/>
  <c r="D313" i="1"/>
  <c r="F313" i="1" s="1"/>
  <c r="D13" i="1"/>
  <c r="F13" i="1" s="1"/>
  <c r="D471" i="1"/>
  <c r="F471" i="1" s="1"/>
  <c r="D442" i="1"/>
  <c r="F442" i="1" s="1"/>
  <c r="D446" i="1"/>
  <c r="F446" i="1" s="1"/>
  <c r="D328" i="1"/>
  <c r="F328" i="1" s="1"/>
  <c r="D201" i="1"/>
  <c r="F201" i="1" s="1"/>
  <c r="D207" i="1"/>
  <c r="F207" i="1" s="1"/>
  <c r="D174" i="1"/>
  <c r="F174" i="1" s="1"/>
  <c r="F299" i="1"/>
  <c r="D252" i="1"/>
  <c r="F252" i="1" s="1"/>
  <c r="D297" i="1"/>
  <c r="F297" i="1" s="1"/>
  <c r="D33" i="1"/>
  <c r="F33" i="1" s="1"/>
  <c r="F435" i="1"/>
  <c r="D123" i="1"/>
  <c r="F123" i="1" s="1"/>
  <c r="D324" i="1"/>
  <c r="F324" i="1" s="1"/>
  <c r="D167" i="1"/>
  <c r="F167" i="1" s="1"/>
  <c r="F475" i="1"/>
  <c r="D365" i="1"/>
  <c r="F365" i="1" s="1"/>
  <c r="D393" i="1"/>
  <c r="F393" i="1" s="1"/>
  <c r="D260" i="1"/>
  <c r="F260" i="1" s="1"/>
  <c r="D410" i="1"/>
  <c r="F410" i="1" s="1"/>
  <c r="D342" i="1"/>
  <c r="F342" i="1" s="1"/>
  <c r="D366" i="1"/>
  <c r="F366" i="1" s="1"/>
  <c r="D478" i="1"/>
  <c r="F478" i="1" s="1"/>
  <c r="F17" i="1"/>
  <c r="D72" i="1"/>
  <c r="F72" i="1" s="1"/>
  <c r="D208" i="1"/>
  <c r="F208" i="1" s="1"/>
  <c r="F130" i="1"/>
  <c r="D198" i="1"/>
  <c r="F198" i="1" s="1"/>
  <c r="D199" i="1"/>
  <c r="F199" i="1" s="1"/>
  <c r="D428" i="1"/>
  <c r="F428" i="1" s="1"/>
  <c r="D142" i="1"/>
  <c r="F142" i="1" s="1"/>
  <c r="D257" i="1"/>
  <c r="F257" i="1" s="1"/>
  <c r="D172" i="1"/>
  <c r="F172" i="1" s="1"/>
  <c r="F138" i="1"/>
  <c r="D173" i="1"/>
  <c r="F173" i="1" s="1"/>
  <c r="D247" i="1"/>
  <c r="F247" i="1" s="1"/>
  <c r="D149" i="1"/>
  <c r="F149" i="1" s="1"/>
  <c r="D401" i="1"/>
  <c r="F401" i="1" s="1"/>
  <c r="F307" i="1"/>
  <c r="D112" i="1"/>
  <c r="F112" i="1" s="1"/>
  <c r="D248" i="1"/>
  <c r="F248" i="1" s="1"/>
  <c r="D404" i="1"/>
  <c r="F404" i="1" s="1"/>
  <c r="D472" i="1"/>
  <c r="F472" i="1" s="1"/>
  <c r="D445" i="1"/>
  <c r="F445" i="1" s="1"/>
  <c r="D57" i="1"/>
  <c r="F57" i="1" s="1"/>
  <c r="D340" i="1"/>
  <c r="F340" i="1" s="1"/>
  <c r="D322" i="1"/>
  <c r="F322" i="1" s="1"/>
  <c r="D194" i="1"/>
  <c r="F194" i="1" s="1"/>
  <c r="D312" i="1"/>
  <c r="F312" i="1" s="1"/>
  <c r="D47" i="1"/>
  <c r="F47" i="1" s="1"/>
  <c r="D236" i="1"/>
  <c r="F236" i="1" s="1"/>
  <c r="D58" i="1"/>
  <c r="F58" i="1" s="1"/>
  <c r="D186" i="1"/>
  <c r="F186" i="1" s="1"/>
  <c r="D315" i="1"/>
  <c r="F315" i="1" s="1"/>
  <c r="D379" i="1"/>
  <c r="F379" i="1" s="1"/>
  <c r="D443" i="1"/>
  <c r="F443" i="1" s="1"/>
  <c r="F331" i="1"/>
  <c r="F122" i="1"/>
  <c r="D110" i="1"/>
  <c r="F110" i="1" s="1"/>
  <c r="D166" i="1"/>
  <c r="F166" i="1" s="1"/>
  <c r="D263" i="1"/>
  <c r="F263" i="1" s="1"/>
  <c r="D375" i="1"/>
  <c r="F375" i="1" s="1"/>
  <c r="F339" i="1"/>
  <c r="F319" i="1"/>
  <c r="F251" i="1"/>
  <c r="F77" i="1"/>
  <c r="F323" i="1"/>
  <c r="F154" i="1"/>
  <c r="D31" i="1"/>
  <c r="F31" i="1" s="1"/>
  <c r="D79" i="1"/>
  <c r="F79" i="1" s="1"/>
  <c r="D143" i="1"/>
  <c r="F143" i="1" s="1"/>
  <c r="D183" i="1"/>
  <c r="F183" i="1" s="1"/>
  <c r="D232" i="1"/>
  <c r="F232" i="1" s="1"/>
  <c r="D304" i="1"/>
  <c r="F304" i="1" s="1"/>
  <c r="D360" i="1"/>
  <c r="F360" i="1" s="1"/>
  <c r="F371" i="1"/>
  <c r="F440" i="1"/>
  <c r="F45" i="1"/>
  <c r="F358" i="1"/>
  <c r="F175" i="1"/>
  <c r="F94" i="1"/>
  <c r="F134" i="1"/>
  <c r="F352" i="1"/>
  <c r="D49" i="1"/>
  <c r="F49" i="1" s="1"/>
  <c r="D121" i="1"/>
  <c r="F121" i="1" s="1"/>
  <c r="D161" i="1"/>
  <c r="F161" i="1" s="1"/>
  <c r="D202" i="1"/>
  <c r="F202" i="1" s="1"/>
  <c r="D266" i="1"/>
  <c r="F266" i="1" s="1"/>
  <c r="D274" i="1"/>
  <c r="F274" i="1" s="1"/>
  <c r="D282" i="1"/>
  <c r="F282" i="1" s="1"/>
  <c r="D306" i="1"/>
  <c r="F306" i="1" s="1"/>
  <c r="D362" i="1"/>
  <c r="F362" i="1" s="1"/>
  <c r="D386" i="1"/>
  <c r="F386" i="1" s="1"/>
  <c r="D426" i="1"/>
  <c r="F426" i="1" s="1"/>
  <c r="F291" i="1"/>
  <c r="F286" i="1"/>
  <c r="F53" i="1"/>
  <c r="F378" i="1"/>
  <c r="F419" i="1"/>
  <c r="F231" i="1"/>
  <c r="F318" i="1"/>
  <c r="F239" i="1"/>
  <c r="F344" i="1"/>
  <c r="F434" i="1"/>
  <c r="F219" i="1"/>
  <c r="F150" i="1"/>
  <c r="F351" i="1"/>
  <c r="D35" i="1"/>
  <c r="F35" i="1" s="1"/>
  <c r="D43" i="1"/>
  <c r="F43" i="1" s="1"/>
  <c r="D59" i="1"/>
  <c r="F59" i="1" s="1"/>
  <c r="D75" i="1"/>
  <c r="F75" i="1" s="1"/>
  <c r="D91" i="1"/>
  <c r="F91" i="1" s="1"/>
  <c r="D115" i="1"/>
  <c r="F115" i="1" s="1"/>
  <c r="D268" i="1"/>
  <c r="F268" i="1" s="1"/>
  <c r="D284" i="1"/>
  <c r="F284" i="1" s="1"/>
  <c r="D356" i="1"/>
  <c r="F356" i="1" s="1"/>
  <c r="D372" i="1"/>
  <c r="F372" i="1" s="1"/>
  <c r="D444" i="1"/>
  <c r="F444" i="1" s="1"/>
  <c r="D28" i="1"/>
  <c r="F28" i="1" s="1"/>
  <c r="D68" i="1"/>
  <c r="F68" i="1" s="1"/>
  <c r="D132" i="1"/>
  <c r="F132" i="1" s="1"/>
  <c r="D205" i="1"/>
  <c r="F205" i="1" s="1"/>
  <c r="D245" i="1"/>
  <c r="F245" i="1" s="1"/>
  <c r="D301" i="1"/>
  <c r="F301" i="1" s="1"/>
  <c r="D357" i="1"/>
  <c r="F357" i="1" s="1"/>
  <c r="D421" i="1"/>
  <c r="F421" i="1" s="1"/>
  <c r="D453" i="1"/>
  <c r="F453" i="1" s="1"/>
  <c r="D486" i="1"/>
  <c r="F486" i="1" s="1"/>
  <c r="F385" i="1"/>
  <c r="F15" i="1"/>
  <c r="F241" i="1"/>
  <c r="F30" i="1"/>
  <c r="F168" i="1"/>
  <c r="F417" i="1"/>
  <c r="F38" i="1"/>
  <c r="F329" i="1"/>
  <c r="F128" i="1"/>
  <c r="F225" i="1"/>
  <c r="F305" i="1"/>
  <c r="F217" i="1"/>
  <c r="F193" i="1"/>
  <c r="F281" i="1"/>
  <c r="F64" i="1"/>
  <c r="F160" i="1"/>
  <c r="F32" i="1"/>
  <c r="F473" i="1"/>
  <c r="F481" i="1"/>
  <c r="F96" i="1"/>
  <c r="F377" i="1"/>
  <c r="F249" i="1"/>
  <c r="F152" i="1"/>
  <c r="F80" i="1"/>
  <c r="F369" i="1"/>
  <c r="F144" i="1"/>
  <c r="F409" i="1"/>
  <c r="F353" i="1"/>
  <c r="F34" i="1"/>
  <c r="F184" i="1"/>
  <c r="F465" i="1"/>
  <c r="F441" i="1"/>
  <c r="F265" i="1"/>
  <c r="F321" i="1"/>
  <c r="F433" i="1"/>
  <c r="F233" i="1"/>
  <c r="F56" i="1"/>
  <c r="F25" i="1"/>
  <c r="F425" i="1"/>
  <c r="F345" i="1"/>
  <c r="F273" i="1"/>
  <c r="F361" i="1"/>
  <c r="F48" i="1"/>
  <c r="F176" i="1"/>
  <c r="F209" i="1"/>
  <c r="F104" i="1"/>
  <c r="F337" i="1"/>
  <c r="F88" i="1"/>
  <c r="F136" i="1"/>
  <c r="F40" i="1"/>
  <c r="F289" i="1"/>
  <c r="F457" i="1"/>
  <c r="F449" i="1"/>
  <c r="F120" i="1"/>
  <c r="F23" i="1"/>
  <c r="F12" i="1"/>
  <c r="F11" i="1"/>
  <c r="F10" i="1"/>
  <c r="C3" i="1"/>
  <c r="B6" i="1"/>
  <c r="C6" i="1" s="1"/>
  <c r="C4" i="1"/>
  <c r="C285" i="1"/>
  <c r="C387" i="1"/>
  <c r="C454" i="1"/>
  <c r="B7" i="1" l="1"/>
  <c r="B8" i="1" s="1"/>
  <c r="C7" i="1" l="1"/>
  <c r="C8" i="1"/>
  <c r="C10" i="1" l="1"/>
  <c r="B11" i="1"/>
  <c r="B12" i="1" l="1"/>
  <c r="C11" i="1"/>
  <c r="C12" i="1" l="1"/>
  <c r="B13" i="1"/>
  <c r="B15" i="1" l="1"/>
  <c r="C13" i="1"/>
  <c r="C15" i="1" l="1"/>
  <c r="B16" i="1"/>
  <c r="B17" i="1" l="1"/>
  <c r="C16" i="1"/>
  <c r="C17" i="1" l="1"/>
  <c r="B18" i="1"/>
  <c r="B19" i="1" l="1"/>
  <c r="C18" i="1"/>
  <c r="C19" i="1" l="1"/>
  <c r="B20" i="1"/>
  <c r="B21" i="1" l="1"/>
  <c r="C20" i="1"/>
  <c r="C21" i="1" l="1"/>
  <c r="B22" i="1"/>
  <c r="B23" i="1" l="1"/>
  <c r="C22" i="1"/>
  <c r="B24" i="1" l="1"/>
  <c r="C23" i="1"/>
  <c r="B25" i="1" l="1"/>
  <c r="C24" i="1"/>
  <c r="B27" i="1" l="1"/>
  <c r="C25" i="1"/>
  <c r="C27" i="1" l="1"/>
  <c r="B28" i="1"/>
  <c r="C28" i="1" l="1"/>
  <c r="B29" i="1"/>
  <c r="C29" i="1" l="1"/>
  <c r="B30" i="1"/>
  <c r="C30" i="1" l="1"/>
  <c r="B31" i="1"/>
  <c r="B32" i="1" l="1"/>
  <c r="C31" i="1"/>
  <c r="C32" i="1" l="1"/>
  <c r="B33" i="1"/>
  <c r="B34" i="1" l="1"/>
  <c r="C33" i="1"/>
  <c r="C34" i="1" l="1"/>
  <c r="B35" i="1"/>
  <c r="B36" i="1" l="1"/>
  <c r="C35" i="1"/>
  <c r="B37" i="1" l="1"/>
  <c r="C36" i="1"/>
  <c r="B38" i="1" l="1"/>
  <c r="C37" i="1"/>
  <c r="C38" i="1" l="1"/>
  <c r="B39" i="1"/>
  <c r="B40" i="1" l="1"/>
  <c r="C39" i="1"/>
  <c r="B41" i="1" l="1"/>
  <c r="C40" i="1"/>
  <c r="C41" i="1" l="1"/>
  <c r="B42" i="1"/>
  <c r="C42" i="1" l="1"/>
  <c r="B43" i="1"/>
  <c r="B44" i="1" l="1"/>
  <c r="C43" i="1"/>
  <c r="B45" i="1" l="1"/>
  <c r="C44" i="1"/>
  <c r="B46" i="1" l="1"/>
  <c r="C45" i="1"/>
  <c r="C46" i="1" l="1"/>
  <c r="B47" i="1"/>
  <c r="B48" i="1" l="1"/>
  <c r="C47" i="1"/>
  <c r="B49" i="1" l="1"/>
  <c r="C48" i="1"/>
  <c r="B50" i="1" l="1"/>
  <c r="C49" i="1"/>
  <c r="B51" i="1" l="1"/>
  <c r="C50" i="1"/>
  <c r="B52" i="1" l="1"/>
  <c r="C51" i="1"/>
  <c r="B53" i="1" l="1"/>
  <c r="C52" i="1"/>
  <c r="C53" i="1" l="1"/>
  <c r="B54" i="1"/>
  <c r="C54" i="1" l="1"/>
  <c r="B55" i="1"/>
  <c r="B56" i="1" l="1"/>
  <c r="C55" i="1"/>
  <c r="C56" i="1" l="1"/>
  <c r="B57" i="1"/>
  <c r="B58" i="1" l="1"/>
  <c r="C57" i="1"/>
  <c r="C58" i="1" l="1"/>
  <c r="B59" i="1"/>
  <c r="B60" i="1" l="1"/>
  <c r="C59" i="1"/>
  <c r="C60" i="1" l="1"/>
  <c r="B61" i="1"/>
  <c r="B62" i="1" l="1"/>
  <c r="C61" i="1"/>
  <c r="C62" i="1" l="1"/>
  <c r="B63" i="1"/>
  <c r="B64" i="1" l="1"/>
  <c r="C63" i="1"/>
  <c r="C64" i="1" l="1"/>
  <c r="B65" i="1"/>
  <c r="B66" i="1" l="1"/>
  <c r="C65" i="1"/>
  <c r="C66" i="1" l="1"/>
  <c r="B67" i="1"/>
  <c r="B68" i="1" l="1"/>
  <c r="C67" i="1"/>
  <c r="C68" i="1" l="1"/>
  <c r="B69" i="1"/>
  <c r="B70" i="1" l="1"/>
  <c r="C69" i="1"/>
  <c r="C70" i="1" l="1"/>
  <c r="B71" i="1"/>
  <c r="B72" i="1" l="1"/>
  <c r="C71" i="1"/>
  <c r="C72" i="1" l="1"/>
  <c r="B73" i="1"/>
  <c r="C73" i="1" l="1"/>
  <c r="B74" i="1"/>
  <c r="B75" i="1" l="1"/>
  <c r="C74" i="1"/>
  <c r="B76" i="1" l="1"/>
  <c r="C75" i="1"/>
  <c r="C76" i="1" l="1"/>
  <c r="B77" i="1"/>
  <c r="B78" i="1" l="1"/>
  <c r="C77" i="1"/>
  <c r="C78" i="1" l="1"/>
  <c r="B79" i="1"/>
  <c r="C79" i="1" l="1"/>
  <c r="B80" i="1"/>
  <c r="C80" i="1" l="1"/>
  <c r="B81" i="1"/>
  <c r="B82" i="1" l="1"/>
  <c r="C81" i="1"/>
  <c r="C82" i="1" l="1"/>
  <c r="B83" i="1"/>
  <c r="B84" i="1" l="1"/>
  <c r="C83" i="1"/>
  <c r="C84" i="1" l="1"/>
  <c r="B85" i="1"/>
  <c r="C85" i="1" l="1"/>
  <c r="B86" i="1"/>
  <c r="C86" i="1" l="1"/>
  <c r="B87" i="1"/>
  <c r="B88" i="1" l="1"/>
  <c r="C87" i="1"/>
  <c r="C88" i="1" l="1"/>
  <c r="B89" i="1"/>
  <c r="B90" i="1" l="1"/>
  <c r="C90" i="1" s="1"/>
  <c r="C89" i="1"/>
</calcChain>
</file>

<file path=xl/sharedStrings.xml><?xml version="1.0" encoding="utf-8"?>
<sst xmlns="http://schemas.openxmlformats.org/spreadsheetml/2006/main" count="3383" uniqueCount="1816">
  <si>
    <t>Platano</t>
  </si>
  <si>
    <t>Metal precioso negador con cáscara</t>
  </si>
  <si>
    <t>fácil</t>
  </si>
  <si>
    <t>Combinación doble</t>
  </si>
  <si>
    <t>Fruta amarilla</t>
  </si>
  <si>
    <t>Fruto comestible de forma alargada y algo curvada, pulpa blanca y piel amarilla que se desprende fácilmente.</t>
  </si>
  <si>
    <t>Plátano</t>
  </si>
  <si>
    <t>N</t>
  </si>
  <si>
    <t>Siembra</t>
  </si>
  <si>
    <t>Para poder cosechar asiente el macho a su pareja</t>
  </si>
  <si>
    <t>Empieza diciendo que si</t>
  </si>
  <si>
    <t>Esparcir semillas en un terreno para que den plantas o frutos.</t>
  </si>
  <si>
    <t>Sembrar</t>
  </si>
  <si>
    <t>Papaya</t>
  </si>
  <si>
    <t>El hombre que tiene un hijo ahora mismo es un fruto</t>
  </si>
  <si>
    <t>Fruto del papá autoreferencial</t>
  </si>
  <si>
    <t>Fruto comestible de forma alargada, con pulpa anaranjada y abundantes semillas en su interior.</t>
  </si>
  <si>
    <t>Sorbete</t>
  </si>
  <si>
    <t>Retírate monja</t>
  </si>
  <si>
    <t>Sirve para tomar bebidas sin tocar el vaso</t>
  </si>
  <si>
    <t>Cánula o paja pequeña para sorber líquidos, generalmente refrescos.</t>
  </si>
  <si>
    <t>Palaciega</t>
  </si>
  <si>
    <t>Herramienta para cavar sin vista</t>
  </si>
  <si>
    <t>Femenino de herramienta para cavar que afirma el yo</t>
  </si>
  <si>
    <t>Relativa al palacio.</t>
  </si>
  <si>
    <t>Salida</t>
  </si>
  <si>
    <t>Condimento famoso retirado</t>
  </si>
  <si>
    <t>Escape</t>
  </si>
  <si>
    <t>Lugar por donde se sale.</t>
  </si>
  <si>
    <t>Abeja</t>
  </si>
  <si>
    <t>Pájaro de la risa corta</t>
  </si>
  <si>
    <t>Panal</t>
  </si>
  <si>
    <t>Insecto volador que vive en colonias y produce la miel y la cera.</t>
  </si>
  <si>
    <t>Destino</t>
  </si>
  <si>
    <t>Entregues la habilidad de acertar</t>
  </si>
  <si>
    <t>Futuro inevitable</t>
  </si>
  <si>
    <t>Desarrollo de los acontecimientos que se considera inevitable, que no puede ser cambiado.</t>
  </si>
  <si>
    <t>Pantalla</t>
  </si>
  <si>
    <t>Estatura de la masa de harina y agua cocida al horno</t>
  </si>
  <si>
    <t>difícil</t>
  </si>
  <si>
    <t>Monitor</t>
  </si>
  <si>
    <t>Superficie sobre la que se proyectan las imágenes de un cine, computador o televisor.</t>
  </si>
  <si>
    <t>Camalote</t>
  </si>
  <si>
    <t>Litera del tamaño de un terreno</t>
  </si>
  <si>
    <t>Planta que no se ahoga</t>
  </si>
  <si>
    <t>Nombre de ciertas plantas acuáticas que crecen cercanas a la orilla de ríos y lagunas.</t>
  </si>
  <si>
    <t>Sintaxis</t>
  </si>
  <si>
    <t>Ausencia de autos de alquiler que estudia la estructura del lenguaje</t>
  </si>
  <si>
    <t>Carambolas, ésta palabra no tiene ayuda</t>
  </si>
  <si>
    <t>Parte de la gramática que estudia la forma en que se combinan y relacionan las palabras.</t>
  </si>
  <si>
    <t>Hostia</t>
  </si>
  <si>
    <t>Forma en que la herramienta de la muerte es llamada por su sobrino</t>
  </si>
  <si>
    <t>Pan de eucaristía</t>
  </si>
  <si>
    <t>Pieza plana de pan ázimo, redonda y muy fina, que el sacerdote católico consagra y da a los fieles en la comunión.</t>
  </si>
  <si>
    <t>Postres</t>
  </si>
  <si>
    <t>El número cuatro en función del tres</t>
  </si>
  <si>
    <t>Despues de las comidas</t>
  </si>
  <si>
    <t>Dulce o fruta que se sirve al final de una comida.</t>
  </si>
  <si>
    <t>Postre</t>
  </si>
  <si>
    <t>Lenteja</t>
  </si>
  <si>
    <t>Vidrio gracioso de características ópticas especiales</t>
  </si>
  <si>
    <t>Planta herbácea de la familia de las papilonáceas. Ahora si!</t>
  </si>
  <si>
    <t>Planta herbácea cuyo fruto de igual nombre se usa como alimento.</t>
  </si>
  <si>
    <t>Novela</t>
  </si>
  <si>
    <t>Tipo de libro que niega una forma de iluminar antigua</t>
  </si>
  <si>
    <t>Género literario. Narración en prosa, generalmente extensa.</t>
  </si>
  <si>
    <t>Escalofrio</t>
  </si>
  <si>
    <t>Trepo la baja temperatura</t>
  </si>
  <si>
    <t>media</t>
  </si>
  <si>
    <t>Sensación de frío intensa y repentina.</t>
  </si>
  <si>
    <t>Escalofrío</t>
  </si>
  <si>
    <t>Panacea</t>
  </si>
  <si>
    <t>Quita la suciedad al pan</t>
  </si>
  <si>
    <t>Remedio o solución que sirve para cualquier problema.</t>
  </si>
  <si>
    <t>Mandarina</t>
  </si>
  <si>
    <t>Envía trigo molido</t>
  </si>
  <si>
    <t>Combinación superpuesta</t>
  </si>
  <si>
    <t>Fruto similar a la naranja, con gajos fáciles de separar y gusto dulce.</t>
  </si>
  <si>
    <t>Reino</t>
  </si>
  <si>
    <t>Padre del príncipe de la negación</t>
  </si>
  <si>
    <t>Territorio gobernado por un rey.</t>
  </si>
  <si>
    <t>Docena</t>
  </si>
  <si>
    <t>Uno más uno en la primera letra</t>
  </si>
  <si>
    <t>Combinación múltiple</t>
  </si>
  <si>
    <t>de a doce</t>
  </si>
  <si>
    <t>Conjunto formado por 12 unidades.</t>
  </si>
  <si>
    <t>Finaliza</t>
  </si>
  <si>
    <t>Plancha la última parte</t>
  </si>
  <si>
    <t>termina</t>
  </si>
  <si>
    <t>Terminar, llegar al fin.</t>
  </si>
  <si>
    <t>Finalizar</t>
  </si>
  <si>
    <t>Mudanza</t>
  </si>
  <si>
    <t>Baile de la vaca para cambiar de casa</t>
  </si>
  <si>
    <t>Empieza mugiendo</t>
  </si>
  <si>
    <t>Acción de cambiar de residencia o lugar de trabajo.</t>
  </si>
  <si>
    <t>Asunto</t>
  </si>
  <si>
    <t>Extiendo mermelada sobre el primer naipe de la baraja</t>
  </si>
  <si>
    <t>Materia de la que se trata, tema de exposición.</t>
  </si>
  <si>
    <t>Letrina</t>
  </si>
  <si>
    <t>El pájaro le emite su sonido</t>
  </si>
  <si>
    <t>inodoro precario</t>
  </si>
  <si>
    <t>Lugar donde se vierten inmundicias y se expelen los excrementos.</t>
  </si>
  <si>
    <t>Sincera</t>
  </si>
  <si>
    <t>No contiene lo que hace al piso resbaladizo</t>
  </si>
  <si>
    <t>ella dice la verdad</t>
  </si>
  <si>
    <t>Verdadera, que no tiene falsedad ni hipocresía.</t>
  </si>
  <si>
    <t>Pascua</t>
  </si>
  <si>
    <t>Tranquilidad espiritual del pato</t>
  </si>
  <si>
    <t>huevos de chocolate</t>
  </si>
  <si>
    <t>Festividad religiosa.</t>
  </si>
  <si>
    <t>Candado</t>
  </si>
  <si>
    <t>Perro de seis caras con puntitos</t>
  </si>
  <si>
    <t>cerradura portatil</t>
  </si>
  <si>
    <t>Mecanismo de seguridad para cerrar puertas, cajones, etc, que es independiente de estos.</t>
  </si>
  <si>
    <t>Acerca</t>
  </si>
  <si>
    <t>Elemento que determina el lugar de encierro de la primera letra</t>
  </si>
  <si>
    <t>Disminuir la distancia.</t>
  </si>
  <si>
    <t>Acercar</t>
  </si>
  <si>
    <t>Reseco</t>
  </si>
  <si>
    <t>Vaca que se repite como un sonido que rebota</t>
  </si>
  <si>
    <t>Muy seco. Que perdió la humedad.</t>
  </si>
  <si>
    <t>Panceta</t>
  </si>
  <si>
    <t>El último pan del abecedario</t>
  </si>
  <si>
    <t>Tocino</t>
  </si>
  <si>
    <t>combina dos palabras</t>
  </si>
  <si>
    <t>Tocino de cerdo con vetas de carne.</t>
  </si>
  <si>
    <t>Novato</t>
  </si>
  <si>
    <t>Me niego a agitarlo fuertemente</t>
  </si>
  <si>
    <t>Principiante.</t>
  </si>
  <si>
    <t>Birrete</t>
  </si>
  <si>
    <t>Proponga simultáneamente dos competencias</t>
  </si>
  <si>
    <t>Gorro con forma de prisma, que se utiliza para distinguir a los profesores de universidad, jueces, etc.</t>
  </si>
  <si>
    <t>Puramente</t>
  </si>
  <si>
    <t>Cerebro sin contaminantes</t>
  </si>
  <si>
    <t>Con pureza. Que no tiene mezcla de otra cosa.</t>
  </si>
  <si>
    <t>Balacera</t>
  </si>
  <si>
    <t>Munición depilatoria</t>
  </si>
  <si>
    <t>Acción de disparar repetidamente con armas de fuego.</t>
  </si>
  <si>
    <t>Amenazar</t>
  </si>
  <si>
    <t>Que se enamoren de lo que no se puede predecir</t>
  </si>
  <si>
    <t>Dar a entender a alguien la intención de hacerle un mal.</t>
  </si>
  <si>
    <t>Tribu</t>
  </si>
  <si>
    <t>Asustar tres veces</t>
  </si>
  <si>
    <t>Agrupación de pueblos antiguos.</t>
  </si>
  <si>
    <t>Gentio</t>
  </si>
  <si>
    <t>Parentesco del gen cuando su hermano tiene un hijo</t>
  </si>
  <si>
    <t>Multitud, gran cantidad de gente.</t>
  </si>
  <si>
    <t>Gentío</t>
  </si>
  <si>
    <t>Amasado</t>
  </si>
  <si>
    <t>Acción que ejerce el masoquista enamorado</t>
  </si>
  <si>
    <t>bollo listo</t>
  </si>
  <si>
    <t>Hacer una masa mezclando uno o más elementos sólidos con líquido, hasta formar una masa homogénea y blanda.</t>
  </si>
  <si>
    <t>Amasar</t>
  </si>
  <si>
    <t>Parlamento</t>
  </si>
  <si>
    <t>Dúo quejoso</t>
  </si>
  <si>
    <t>Cámara o asamblea legislativa.</t>
  </si>
  <si>
    <t>Mecenas</t>
  </si>
  <si>
    <t>Comes a la noche un balido</t>
  </si>
  <si>
    <t>Persona o institución que patrocina a los artistas.</t>
  </si>
  <si>
    <t>Tirantes</t>
  </si>
  <si>
    <t>Arrojan infusiones</t>
  </si>
  <si>
    <t>Tenso, estirado.</t>
  </si>
  <si>
    <t>Tirante</t>
  </si>
  <si>
    <t>Catalejos</t>
  </si>
  <si>
    <t>Degustación a mucha distancia</t>
  </si>
  <si>
    <t>Instrumento óptico que sirve para ver a la distancia.</t>
  </si>
  <si>
    <t>Catalejo</t>
  </si>
  <si>
    <t>Noche</t>
  </si>
  <si>
    <t>Negar al otro porteño</t>
  </si>
  <si>
    <t>Período de tiempo entre la puesta y la salida del sol.</t>
  </si>
  <si>
    <t>Turno</t>
  </si>
  <si>
    <t>Paseo turístico negativo</t>
  </si>
  <si>
    <t>Orden en que se ordenan las personas para realizar una actividad.</t>
  </si>
  <si>
    <t>Camaleon</t>
  </si>
  <si>
    <t>Mueble rey de la selva que sirve para dormir</t>
  </si>
  <si>
    <t>cambia de color</t>
  </si>
  <si>
    <t>Reptil que puede adaptar el color de su piel al entorno para pasar desapercibido.</t>
  </si>
  <si>
    <t>Camaleón</t>
  </si>
  <si>
    <t>Algarrobo</t>
  </si>
  <si>
    <t>Hurto una planta acuática</t>
  </si>
  <si>
    <t>Árbol de hojas perennes que alcanza los 15 metros de altura.</t>
  </si>
  <si>
    <t>Amamanta</t>
  </si>
  <si>
    <t>Tiene amor por la colcha</t>
  </si>
  <si>
    <t>Dar de mamar la madre a sus crías.</t>
  </si>
  <si>
    <t>Cienaga</t>
  </si>
  <si>
    <t>Realice una centena</t>
  </si>
  <si>
    <t>Terreno pantanoso</t>
  </si>
  <si>
    <t>Lugar pantanoso.</t>
  </si>
  <si>
    <t>Ciénaga</t>
  </si>
  <si>
    <t>Parabola</t>
  </si>
  <si>
    <t>Detente pelota en forma curva</t>
  </si>
  <si>
    <t>Narración breve de la que se puede extraer una enseñanza. Tipo de curva geométrica.</t>
  </si>
  <si>
    <t>Parábola</t>
  </si>
  <si>
    <t>Morcilla</t>
  </si>
  <si>
    <t>Traducción combinada de más chair</t>
  </si>
  <si>
    <t>Combinación spanglish</t>
  </si>
  <si>
    <t>Embutido elaborado principalmente con sangre de cerdo.</t>
  </si>
  <si>
    <t>Mediocre</t>
  </si>
  <si>
    <t>Tomé la medida del amarillo oscuro</t>
  </si>
  <si>
    <t>de mala calidad</t>
  </si>
  <si>
    <t>Que es regular tirando a malo.</t>
  </si>
  <si>
    <t>Croata</t>
  </si>
  <si>
    <t>Anuda el sonido del sapo</t>
  </si>
  <si>
    <t>Relativo a Croacia o sus habitantes.</t>
  </si>
  <si>
    <t>Simula</t>
  </si>
  <si>
    <t>Asentimiento del cruce entre asno y yegua</t>
  </si>
  <si>
    <t>Presentar algo haciendo que parezca real cuando no lo es.</t>
  </si>
  <si>
    <t>Simular</t>
  </si>
  <si>
    <t>Externa</t>
  </si>
  <si>
    <t>Ya no están los tres juntos</t>
  </si>
  <si>
    <t>Que se encuentra en la parte exterior y separado de alguna cosa.</t>
  </si>
  <si>
    <t>Granja</t>
  </si>
  <si>
    <t>Risa grande como una chacra</t>
  </si>
  <si>
    <t>Establecimiento para la cría de animales.</t>
  </si>
  <si>
    <t>Fascinada</t>
  </si>
  <si>
    <t>Cara que no contiene un ser fantástico con alas</t>
  </si>
  <si>
    <t>Impresionar mucho a una persona.</t>
  </si>
  <si>
    <t>Fascinar</t>
  </si>
  <si>
    <t>Tensionada</t>
  </si>
  <si>
    <t>Posee la afirmación o practica natación</t>
  </si>
  <si>
    <t>Que se encuentra en tensión, que su cuerpo se encuentra sometido a una fuerza.</t>
  </si>
  <si>
    <t>Devengue</t>
  </si>
  <si>
    <t>Asesiné al que asesinó a la D</t>
  </si>
  <si>
    <t>Adquirir el derecho del pago de una cantidad de dinero como retribución de un servicio, un trabajo, etc.</t>
  </si>
  <si>
    <t>Devengar</t>
  </si>
  <si>
    <t>Escarabajo</t>
  </si>
  <si>
    <t>La parte inferior es auto en inglés</t>
  </si>
  <si>
    <t>insecto negro</t>
  </si>
  <si>
    <t>Insecto habitualmente de color negro, de cuerpo ovalado y patas cortas.</t>
  </si>
  <si>
    <t>Penalista</t>
  </si>
  <si>
    <t>Lástima disponible</t>
  </si>
  <si>
    <t>especialidad de abogacía</t>
  </si>
  <si>
    <t>Persona especializada en derecho penal.</t>
  </si>
  <si>
    <t>Carroza</t>
  </si>
  <si>
    <t>Letra de color femenino tirada por caballos</t>
  </si>
  <si>
    <t>Coche tirado por caballos, adornado lujosamente.</t>
  </si>
  <si>
    <t>Locura</t>
  </si>
  <si>
    <t>Le quita la enfermedad</t>
  </si>
  <si>
    <t>Trastorno de las facultades mentales.</t>
  </si>
  <si>
    <t>Porcino</t>
  </si>
  <si>
    <t>Multiplica asevera niega y tiene un chancho</t>
  </si>
  <si>
    <t>Del cerdo o relativo a él.</t>
  </si>
  <si>
    <t>Reprende</t>
  </si>
  <si>
    <t>Enciende nuevamente para amonestar</t>
  </si>
  <si>
    <t>Reñir o amonestar a una persona.</t>
  </si>
  <si>
    <t>Reprender</t>
  </si>
  <si>
    <t>Acicala</t>
  </si>
  <si>
    <t>Recorta de cierta forma</t>
  </si>
  <si>
    <t>Adornar una persona o cosa.</t>
  </si>
  <si>
    <t>Acicalar</t>
  </si>
  <si>
    <t>Sincero</t>
  </si>
  <si>
    <t>No contiene el número que no contiene nada</t>
  </si>
  <si>
    <t>el que dice la verdad</t>
  </si>
  <si>
    <t>Verdadero, que no tiene falsedad ni hipocresía.</t>
  </si>
  <si>
    <t>Pantera</t>
  </si>
  <si>
    <t>El pan que es más que un gato</t>
  </si>
  <si>
    <t>Especial</t>
  </si>
  <si>
    <t>Mamífero felino, muy ágil, que vive solitario en África y Asia.</t>
  </si>
  <si>
    <t>Cirujano</t>
  </si>
  <si>
    <t>Médico que no atiende al que revisa la basura</t>
  </si>
  <si>
    <t>Médico especialista en cirugía.</t>
  </si>
  <si>
    <t>Barrenada</t>
  </si>
  <si>
    <t>Pasa la escoba en el vacío</t>
  </si>
  <si>
    <t>Realizar agujeros en madera o metal para la posterior inserción de tornillos.</t>
  </si>
  <si>
    <t>Barrenar</t>
  </si>
  <si>
    <t>nacido</t>
  </si>
  <si>
    <t>Dar a luz el feto que una hembra lleva en su vientre.</t>
  </si>
  <si>
    <t>Parir</t>
  </si>
  <si>
    <t>Caravana</t>
  </si>
  <si>
    <t>Dícese del rostro sin sentido</t>
  </si>
  <si>
    <t>Grupo de personas que viajan juntas.</t>
  </si>
  <si>
    <t>Cacareo</t>
  </si>
  <si>
    <t>Confrontación de k para verificar si dice la verdad</t>
  </si>
  <si>
    <t>sonido de gallina</t>
  </si>
  <si>
    <t>Canto del gallo y la gallina.</t>
  </si>
  <si>
    <t>Tinaja</t>
  </si>
  <si>
    <t>Bañadera de la risa</t>
  </si>
  <si>
    <t>Vasija de barro cocido, de grandes dimensiones, que es más ancha en su parte central.</t>
  </si>
  <si>
    <t>Sintesis</t>
  </si>
  <si>
    <t>Dícese del egresado que no realizó el trabajo final</t>
  </si>
  <si>
    <t>Resumen con las ideas fundamentales de un asunto.</t>
  </si>
  <si>
    <t>Síntesis</t>
  </si>
  <si>
    <t>Vertical</t>
  </si>
  <si>
    <t>Dejé caer óxido de calcio</t>
  </si>
  <si>
    <t>Que es perpendicular al plano del horizonte.</t>
  </si>
  <si>
    <t>Atormenta</t>
  </si>
  <si>
    <t>Perturbación atmosférica de inicios del abecedario</t>
  </si>
  <si>
    <t>Causar gran angustia o intranquilidad a alguien.</t>
  </si>
  <si>
    <t>Atormentar</t>
  </si>
  <si>
    <t>Teniente</t>
  </si>
  <si>
    <t>No hay té ni en sí mismo</t>
  </si>
  <si>
    <t>Oficial de la milicia que tiene un cargo inmediatamente inferior al capitán.</t>
  </si>
  <si>
    <t>Catatonico</t>
  </si>
  <si>
    <t>Degusta el brebaje</t>
  </si>
  <si>
    <t>Persona que se ha quedado paralizada mentalmente, sin capacidad de respuesta.</t>
  </si>
  <si>
    <t>Catatónico</t>
  </si>
  <si>
    <t>Contraseña</t>
  </si>
  <si>
    <t>Enfrentado con el gesto de la cara</t>
  </si>
  <si>
    <t>Palabra o frase secreta que conoce una o un grupo reducido de personas.</t>
  </si>
  <si>
    <t>Mascaron</t>
  </si>
  <si>
    <t>El que tiene el rostro más grande</t>
  </si>
  <si>
    <t>Cara deforme o fantástica. Mascarón de proa: Ornamento colocado en la proa de los barcos.</t>
  </si>
  <si>
    <t>Mascarón</t>
  </si>
  <si>
    <t>Avellana</t>
  </si>
  <si>
    <t>Pájaro sin relieve</t>
  </si>
  <si>
    <t>Fruto del avellano, pequeño y comestible.</t>
  </si>
  <si>
    <t>Descuento</t>
  </si>
  <si>
    <t>Historia descontada a los niños</t>
  </si>
  <si>
    <t>Rebaja en una cantidad o el precio de un producto o servicio.</t>
  </si>
  <si>
    <t>Financiado</t>
  </si>
  <si>
    <t>El final que acaba con la ansiedad</t>
  </si>
  <si>
    <t>en cuotas</t>
  </si>
  <si>
    <t>Aportar el dinero necesario para una empresa o actividad.</t>
  </si>
  <si>
    <t>Financiar</t>
  </si>
  <si>
    <t>Venganza</t>
  </si>
  <si>
    <t>Acércate animal zancudo</t>
  </si>
  <si>
    <t>Devolver un daño a una persona que causó otro previamente.</t>
  </si>
  <si>
    <t>Localizada</t>
  </si>
  <si>
    <t>Mujer chiflada a la que se le quitaron los rulos</t>
  </si>
  <si>
    <t>Determinar el lugar donde se encuentra algo.</t>
  </si>
  <si>
    <t>Localizar</t>
  </si>
  <si>
    <t>Mesero</t>
  </si>
  <si>
    <t>Número de mes anterior a enero</t>
  </si>
  <si>
    <t>Camarero, mozo.</t>
  </si>
  <si>
    <t>Filosofia</t>
  </si>
  <si>
    <t>El afilado entrega mercadería para que se la paguen más adelante</t>
  </si>
  <si>
    <t>Ciencia que estudia la esencia, causas y propiedades de las cosas naturales.</t>
  </si>
  <si>
    <t>Filosofía</t>
  </si>
  <si>
    <t>Misiva</t>
  </si>
  <si>
    <t>Reina de la belleza del impuesto al valor agregado</t>
  </si>
  <si>
    <t>Llega por correo</t>
  </si>
  <si>
    <t>Carta o mensaje que se envía a una persona.</t>
  </si>
  <si>
    <t>Motoneta</t>
  </si>
  <si>
    <t>Le quito lo que sobra a la moto bruta</t>
  </si>
  <si>
    <t>pequeña moto</t>
  </si>
  <si>
    <t>Motocicleta de pequeña cilindrada.</t>
  </si>
  <si>
    <t>Cencerro</t>
  </si>
  <si>
    <t>Pequeña montaña budista</t>
  </si>
  <si>
    <t>cascabel</t>
  </si>
  <si>
    <t>Campana de metal que se cuelga al cuello de las reses.</t>
  </si>
  <si>
    <t>Firmemente</t>
  </si>
  <si>
    <t>Haga una rúbrica personal en la inteligencia</t>
  </si>
  <si>
    <t>Con firmeza, decididamente.</t>
  </si>
  <si>
    <t>Antiparras</t>
  </si>
  <si>
    <t>Opuesto a las plantas que dan uvas</t>
  </si>
  <si>
    <t>anteojos subacuaticos</t>
  </si>
  <si>
    <t>Gafas especiales que se usan para nadar o para andar en moto.</t>
  </si>
  <si>
    <t>Mascarpone</t>
  </si>
  <si>
    <t>Coloca mayor cantidad de auto en inglés</t>
  </si>
  <si>
    <t>dificil</t>
  </si>
  <si>
    <t>Tipo de queso</t>
  </si>
  <si>
    <t>Variedad de queso de origen italiano que suele consumirse como postre.</t>
  </si>
  <si>
    <t>Candidato</t>
  </si>
  <si>
    <t>Pido al perro que diga unidad de información</t>
  </si>
  <si>
    <t>Persona que aspira a algún cargo o distinción.</t>
  </si>
  <si>
    <t>Superfluo</t>
  </si>
  <si>
    <t>El superhéroe de los colores brillantes</t>
  </si>
  <si>
    <t>Que no cumple una función. Innecesario.</t>
  </si>
  <si>
    <t>Ebano</t>
  </si>
  <si>
    <t>Niega a la primera mujer bíblica</t>
  </si>
  <si>
    <t>facil</t>
  </si>
  <si>
    <t>Madera Oscura</t>
  </si>
  <si>
    <t>Árbol de tronco grueso de madera de mucha calidad.</t>
  </si>
  <si>
    <t>Ébano</t>
  </si>
  <si>
    <t>Cinico</t>
  </si>
  <si>
    <t>Sin aliento para el caballito</t>
  </si>
  <si>
    <t>Perteneciente a la escuela filosófica del cinismo. Se utiliza para identificar a las personas descaradas.</t>
  </si>
  <si>
    <t>Cínico</t>
  </si>
  <si>
    <t>Bisoñe</t>
  </si>
  <si>
    <t>Imaginé dos veces lo mismo mientras dormía</t>
  </si>
  <si>
    <t>Peluca que cubre la parte delantera de la cabeza.</t>
  </si>
  <si>
    <t>Bisoñé</t>
  </si>
  <si>
    <t>Casino</t>
  </si>
  <si>
    <t>La onceava letra del abecedario no se decide</t>
  </si>
  <si>
    <t>tragamonedas y ruleta</t>
  </si>
  <si>
    <t>Lugar donde se practican juegos de azar.</t>
  </si>
  <si>
    <t>Menoscabo</t>
  </si>
  <si>
    <t>Comparativamente poca soga de barco</t>
  </si>
  <si>
    <t>desprecio</t>
  </si>
  <si>
    <t>Disminuir una cualidad positiva de algo.</t>
  </si>
  <si>
    <t>Menoscabar</t>
  </si>
  <si>
    <t>Asomar</t>
  </si>
  <si>
    <t>Cocino gran extensión de agua salada</t>
  </si>
  <si>
    <t>Aparecer o mostrar algo desde detrás de alguna cosa o por una abertura.</t>
  </si>
  <si>
    <t>Calzon</t>
  </si>
  <si>
    <t>Hijo inglés del polvo blanco que se combina con cemento</t>
  </si>
  <si>
    <t>Pantalón que cubre desde la cintura hasta una altura variable de las piernas.</t>
  </si>
  <si>
    <t>Mesera</t>
  </si>
  <si>
    <t>Solía ser una de las doce partes del año</t>
  </si>
  <si>
    <t>moza</t>
  </si>
  <si>
    <t>Camarera.</t>
  </si>
  <si>
    <t>Marinada</t>
  </si>
  <si>
    <t>El apócope de María se desplaza por el agua</t>
  </si>
  <si>
    <t>Adobar el pescado para conservarlo.</t>
  </si>
  <si>
    <t>Trivial</t>
  </si>
  <si>
    <t>Triplemente del tránsito</t>
  </si>
  <si>
    <t>No importa</t>
  </si>
  <si>
    <t>Que no tiene importancia.</t>
  </si>
  <si>
    <t>Concentrar</t>
  </si>
  <si>
    <t>Ingresar junto con la tercera letra.</t>
  </si>
  <si>
    <t>Prestar atención</t>
  </si>
  <si>
    <t>Dirigir la atención o interés hacia un punto.</t>
  </si>
  <si>
    <t>Vendados</t>
  </si>
  <si>
    <t>Perciben con los ojos tapados cubos con puntos en sus caras</t>
  </si>
  <si>
    <t>Que tiene alguna parte del cuerpo cubierta con una venda.</t>
  </si>
  <si>
    <t>Vendado</t>
  </si>
  <si>
    <t>Comensal</t>
  </si>
  <si>
    <t>Se alimentan sin preocuparse por la presión arterial</t>
  </si>
  <si>
    <t>el que se sienta a comer</t>
  </si>
  <si>
    <t>ingieren cloruro de sodio</t>
  </si>
  <si>
    <t>Persona que se sienta a comer a la mesa.</t>
  </si>
  <si>
    <t>Urraca</t>
  </si>
  <si>
    <t>Pájaro que alienta a la letra k</t>
  </si>
  <si>
    <t>Pájaro negro brillante y blanco, que puede reproducir ciertos sonidos humanos.</t>
  </si>
  <si>
    <t>Travesaño</t>
  </si>
  <si>
    <t>Dificultes el paso de 365 días</t>
  </si>
  <si>
    <t>Pieza alargada que atraviesa de una parte a otra.</t>
  </si>
  <si>
    <t>Turgente</t>
  </si>
  <si>
    <t>Paseo turístico de personas</t>
  </si>
  <si>
    <t>Abultado o elevado.</t>
  </si>
  <si>
    <t>Tormenta</t>
  </si>
  <si>
    <t>Dios nórdico con sabor a dentífrico</t>
  </si>
  <si>
    <t>lluvia y viento</t>
  </si>
  <si>
    <t>Tempestad de la atmósfera.</t>
  </si>
  <si>
    <t>Ciruela</t>
  </si>
  <si>
    <t>Señor inglés, utilice su sentido del olfato</t>
  </si>
  <si>
    <t>Fruto dulce comestible del árbol de ciruelo.</t>
  </si>
  <si>
    <t>Duodeno</t>
  </si>
  <si>
    <t>Dos negaciones cantan juntas</t>
  </si>
  <si>
    <t>Parte del intestino delgado.</t>
  </si>
  <si>
    <t>Antinomia</t>
  </si>
  <si>
    <t>En contra de que no me pertenezca</t>
  </si>
  <si>
    <t>Contradicción, contraposición.</t>
  </si>
  <si>
    <t>Cancela</t>
  </si>
  <si>
    <t>El perro da celos</t>
  </si>
  <si>
    <t>Anular, suprimir.</t>
  </si>
  <si>
    <t>Cancelar</t>
  </si>
  <si>
    <t>Desbarato</t>
  </si>
  <si>
    <t>Oneroso utilizando su antónimo</t>
  </si>
  <si>
    <t>Desordenar, desorganizar.</t>
  </si>
  <si>
    <t>Desbaratar</t>
  </si>
  <si>
    <t>Suceso</t>
  </si>
  <si>
    <t>Cerebro perteneciente a él</t>
  </si>
  <si>
    <t>Hecho, acontecimiento.</t>
  </si>
  <si>
    <t>Albatros</t>
  </si>
  <si>
    <t>Despuntar del día inhumano</t>
  </si>
  <si>
    <t>Aves marinas que poseen gran resistencia para el vuelo.</t>
  </si>
  <si>
    <t>Genetico</t>
  </si>
  <si>
    <t>Segmento corto de adn moralista</t>
  </si>
  <si>
    <t>Relativo a las leyes de la herencia.</t>
  </si>
  <si>
    <t>Genético</t>
  </si>
  <si>
    <t>Oscuro</t>
  </si>
  <si>
    <t>Quito la enfermedad a la herramienta de la parca</t>
  </si>
  <si>
    <t>Que carece de luz.</t>
  </si>
  <si>
    <t>Parentela</t>
  </si>
  <si>
    <t>Dúo en género textil</t>
  </si>
  <si>
    <t>Conjunto de parientes de una persona.</t>
  </si>
  <si>
    <t>Coronada</t>
  </si>
  <si>
    <t>Grupo de cantantes del éter</t>
  </si>
  <si>
    <t>Poner la corona.</t>
  </si>
  <si>
    <t>Coronar</t>
  </si>
  <si>
    <t>Fijamente</t>
  </si>
  <si>
    <t>Asegura el cerebro para que no se mueva</t>
  </si>
  <si>
    <t>Con seguridad y firmeza. Atentamente.</t>
  </si>
  <si>
    <t>Realista</t>
  </si>
  <si>
    <t>Prisionera preparada</t>
  </si>
  <si>
    <t>Que posee sentido práctico y se adapta a la realidad.</t>
  </si>
  <si>
    <t>Carniceria</t>
  </si>
  <si>
    <t>No sería un auto en inglés</t>
  </si>
  <si>
    <t>Establecimiento donde se vende carne.</t>
  </si>
  <si>
    <t>Carnicería</t>
  </si>
  <si>
    <t>Onomastico</t>
  </si>
  <si>
    <t>Quizás no muerdo la comida con los dientes</t>
  </si>
  <si>
    <t>imposible</t>
  </si>
  <si>
    <t>Relativo a los nombres.</t>
  </si>
  <si>
    <t>Onomástico</t>
  </si>
  <si>
    <t>Aprender</t>
  </si>
  <si>
    <t>Hacer que la primera vocal no esté apagada</t>
  </si>
  <si>
    <t>Adquirir conocimiento sobre algo.</t>
  </si>
  <si>
    <t>Vaciedad</t>
  </si>
  <si>
    <t>Quite el contenido del tiempo que tiene un ser vivo</t>
  </si>
  <si>
    <t>Cosa sin interés.</t>
  </si>
  <si>
    <t>Italiano</t>
  </si>
  <si>
    <t>Idioma europeo que niega su país de origen</t>
  </si>
  <si>
    <t>De Italia o relativo a ese país.</t>
  </si>
  <si>
    <t>Pasaporte</t>
  </si>
  <si>
    <t>El aspecto físico no se queda</t>
  </si>
  <si>
    <t>Documento personal que acredita la identidad necesario para viajar a algunos países.</t>
  </si>
  <si>
    <t>Parcela</t>
  </si>
  <si>
    <t>Dos dan celos</t>
  </si>
  <si>
    <t>porción de un terreno</t>
  </si>
  <si>
    <t>Pequeña porción de terreno.</t>
  </si>
  <si>
    <t>Mascotas</t>
  </si>
  <si>
    <t>Adición de límites</t>
  </si>
  <si>
    <t>Animal doméstico.</t>
  </si>
  <si>
    <t>Mascota</t>
  </si>
  <si>
    <t>Subido</t>
  </si>
  <si>
    <t>Forma de indicar que está debajo del que se fue</t>
  </si>
  <si>
    <t>que está arriba</t>
  </si>
  <si>
    <t>Pasar de un lugar a otro más alto.</t>
  </si>
  <si>
    <t>Subir</t>
  </si>
  <si>
    <t>Nieva</t>
  </si>
  <si>
    <t>Siquiera la mujer de Adán</t>
  </si>
  <si>
    <t>Caer nieve.</t>
  </si>
  <si>
    <t>Nevar</t>
  </si>
  <si>
    <t>Cartero</t>
  </si>
  <si>
    <t>Auto inglés zancudo</t>
  </si>
  <si>
    <t>Persona que reparte el correo.</t>
  </si>
  <si>
    <t>Solvente</t>
  </si>
  <si>
    <t>Acércate, astro luminoso</t>
  </si>
  <si>
    <t>El que cuenta con recursos para pagar sus deudas.</t>
  </si>
  <si>
    <t>Criolla</t>
  </si>
  <si>
    <t>Cacerola del grillo</t>
  </si>
  <si>
    <t>combinación doble</t>
  </si>
  <si>
    <t>Persona de padres europeos nacida en Hispanoamérica.</t>
  </si>
  <si>
    <t>Extendido</t>
  </si>
  <si>
    <t>El que dejó de estar tirado</t>
  </si>
  <si>
    <t>alargado</t>
  </si>
  <si>
    <t>Aumentar la superficie de algo.</t>
  </si>
  <si>
    <t>Extender</t>
  </si>
  <si>
    <t>Cantina</t>
  </si>
  <si>
    <t>Perro bañadera para tomar un trago</t>
  </si>
  <si>
    <t>Lugar público donde se sirven bebidas y alimentos.</t>
  </si>
  <si>
    <t>Susana</t>
  </si>
  <si>
    <t>Nombre</t>
  </si>
  <si>
    <t>Nombre propio.</t>
  </si>
  <si>
    <t>Amasijo</t>
  </si>
  <si>
    <t>Adición del descendiente directo más próximo y la primera letra</t>
  </si>
  <si>
    <t>Operación de amasar.</t>
  </si>
  <si>
    <t>Vianda</t>
  </si>
  <si>
    <t>Camina dos veces de un lado a otro</t>
  </si>
  <si>
    <t>Comida para las personas.</t>
  </si>
  <si>
    <t>Servicio</t>
  </si>
  <si>
    <t>Ente real con afición a lo perjudicial</t>
  </si>
  <si>
    <t>Trabajo que se hace para otra persona.</t>
  </si>
  <si>
    <t>Soldado</t>
  </si>
  <si>
    <t>Astro luminoso de seis caras numeradas que va a la guerra</t>
  </si>
  <si>
    <t>Persona que sirve en el ejército.</t>
  </si>
  <si>
    <t>Remolino</t>
  </si>
  <si>
    <t>Utilizo una palanca para avanzar en una tela proveniente de la india</t>
  </si>
  <si>
    <t>Movimiento giratorio y rápido de aire, agua, etc.</t>
  </si>
  <si>
    <t>Extinto</t>
  </si>
  <si>
    <t>Dícese del vino que perdió la oscuridad</t>
  </si>
  <si>
    <t>No hay mas</t>
  </si>
  <si>
    <t>Comienza con ex</t>
  </si>
  <si>
    <t>Que está extinguido. Muerto.</t>
  </si>
  <si>
    <t>Mudo</t>
  </si>
  <si>
    <t>Primera nota musical del ternero</t>
  </si>
  <si>
    <t>Que está privado de la facultad de hablar.</t>
  </si>
  <si>
    <t>Estampilla</t>
  </si>
  <si>
    <t>Existencia comparativa de la mujer pícara</t>
  </si>
  <si>
    <t>Sello de correos o fiscal.</t>
  </si>
  <si>
    <t>Presentar</t>
  </si>
  <si>
    <t>Acción anterior al descanso sobre los glúteos</t>
  </si>
  <si>
    <t>Mostrar algo a alguien.</t>
  </si>
  <si>
    <t>Marques</t>
  </si>
  <si>
    <t>Extensión de agua salada de un pronombre para preguntar</t>
  </si>
  <si>
    <t>Miembro de la nobleza superior al conde.</t>
  </si>
  <si>
    <t>Marqués</t>
  </si>
  <si>
    <t>Batifondo</t>
  </si>
  <si>
    <t>Barullo de Batman</t>
  </si>
  <si>
    <t>Ruido molesto.</t>
  </si>
  <si>
    <t>Desganar</t>
  </si>
  <si>
    <t>Acción de deshacer un triunfo</t>
  </si>
  <si>
    <t>sin ganas</t>
  </si>
  <si>
    <t>Falta de ganas.</t>
  </si>
  <si>
    <t>Desgana</t>
  </si>
  <si>
    <t>Expreso</t>
  </si>
  <si>
    <t>Tipo de café que ya no está encarcelado</t>
  </si>
  <si>
    <t>tren rápido</t>
  </si>
  <si>
    <t>Tren confortable, generalmente utilizado para trayectos largos.</t>
  </si>
  <si>
    <t>Alcanfor</t>
  </si>
  <si>
    <t>Al perro le doy un para en inglés</t>
  </si>
  <si>
    <t>Sustancia de origen vegetal con olor fuerte, que se emplea en medicina y en la fabricación de diversos materiales.</t>
  </si>
  <si>
    <t>Manicomio</t>
  </si>
  <si>
    <t>Ingirió cacahuate para definir el lugar de los locos</t>
  </si>
  <si>
    <t>Hospital para enfermos mentales.</t>
  </si>
  <si>
    <t>Violento</t>
  </si>
  <si>
    <t>Percibió con los ojos sin prisa</t>
  </si>
  <si>
    <t>Brusco, muy fuerte. Que se sirve de la fuerza y no de la razón.</t>
  </si>
  <si>
    <t>Mayordomo</t>
  </si>
  <si>
    <t>Cúpula más grande, superior al capitán</t>
  </si>
  <si>
    <t>Criado principal de una casa.</t>
  </si>
  <si>
    <t>Diminuta</t>
  </si>
  <si>
    <t>Tú, menciona la comida de restaurante que se prepara al instante</t>
  </si>
  <si>
    <t>Excesivamente pequeña.</t>
  </si>
  <si>
    <t>Corriente</t>
  </si>
  <si>
    <t>Me desplacé rápidamente en una tetera con saquito</t>
  </si>
  <si>
    <t>Que corre. Que sucede frecuentemente.</t>
  </si>
  <si>
    <t>Asfalto</t>
  </si>
  <si>
    <t>El uno que no tiene</t>
  </si>
  <si>
    <t>Mezcla sólida que se emplea en el pavimento de calzadas.</t>
  </si>
  <si>
    <t>Tendiente</t>
  </si>
  <si>
    <t>Sostén una parte del ajo</t>
  </si>
  <si>
    <t>Que tiende hacia una dirección.</t>
  </si>
  <si>
    <t>Planetario</t>
  </si>
  <si>
    <t>Proyecto relativo a la edad de las personas</t>
  </si>
  <si>
    <t>De un planeta o relacionado con él.</t>
  </si>
  <si>
    <t>Automata</t>
  </si>
  <si>
    <t>Quita la vida al vehículo de cuatro ruedas</t>
  </si>
  <si>
    <t>Máquina que imita la forma y movimientos humanos.</t>
  </si>
  <si>
    <t>Autómata</t>
  </si>
  <si>
    <t>Horadar</t>
  </si>
  <si>
    <t>Entregar 3600 segundos agrupados</t>
  </si>
  <si>
    <t>Hacer un agujero muy profundo a una cosa.</t>
  </si>
  <si>
    <t>Trasmision</t>
  </si>
  <si>
    <t>Detrás del objetivo</t>
  </si>
  <si>
    <t>Acción o efecto de trasmitir. Hacer llegar un mensaje a una persona.</t>
  </si>
  <si>
    <t>Trasmisión</t>
  </si>
  <si>
    <t>Hondonada</t>
  </si>
  <si>
    <t>Profundo se desplaza sobre el agua</t>
  </si>
  <si>
    <t>Espacio hondo de terreno.</t>
  </si>
  <si>
    <t>Esteriliza</t>
  </si>
  <si>
    <t>El que no puede reproducirse sube la bandera</t>
  </si>
  <si>
    <t>sin bacterias</t>
  </si>
  <si>
    <t>Hacer estéril. Destruir los gérmenes patógenos.</t>
  </si>
  <si>
    <t>Esterilizar</t>
  </si>
  <si>
    <t>Diversion</t>
  </si>
  <si>
    <t>Entregué punto de vista</t>
  </si>
  <si>
    <t>Entretenimiento de un rato alegre.</t>
  </si>
  <si>
    <t>Diversión</t>
  </si>
  <si>
    <t>Testimonio</t>
  </si>
  <si>
    <t>Conjunción de la prueba y el nudo sobre el cuello de la camisa</t>
  </si>
  <si>
    <t>Declaración de una persona para asegurar la veracidad de un hecho.</t>
  </si>
  <si>
    <t>Dictador</t>
  </si>
  <si>
    <t>Dice puerta en inglés para que otro la escriba</t>
  </si>
  <si>
    <t>Gobernante que asume todos los poderes del estado sin someterse a ninguna ley.</t>
  </si>
  <si>
    <t>Brevedad</t>
  </si>
  <si>
    <t>Cantidad de años de una persona, de corta duración</t>
  </si>
  <si>
    <t>Corta duración de una cosa.</t>
  </si>
  <si>
    <t>Sedantes</t>
  </si>
  <si>
    <t>Previamente tenía ganas de tomar agua</t>
  </si>
  <si>
    <t>Que tranquiliza o calma.</t>
  </si>
  <si>
    <t>Sedante</t>
  </si>
  <si>
    <t>Mariposa</t>
  </si>
  <si>
    <t>El apócope de María se acomoda para la foto</t>
  </si>
  <si>
    <t>insecto con alas de colores</t>
  </si>
  <si>
    <t>Insecto en estado adulto, de alas grandes y coloridas.</t>
  </si>
  <si>
    <t>Aspereza</t>
  </si>
  <si>
    <t>Muy hábil en el desgano</t>
  </si>
  <si>
    <t>Falta de suavidad.</t>
  </si>
  <si>
    <t>Matriculo</t>
  </si>
  <si>
    <t>Madre que requiere tres sillas para sentarse</t>
  </si>
  <si>
    <t>Inscribir en una matrícula.</t>
  </si>
  <si>
    <t>Matricular</t>
  </si>
  <si>
    <t>Parlotear</t>
  </si>
  <si>
    <t>Dividir a un dúo en parcelas</t>
  </si>
  <si>
    <t>Hablar mucho y sin sustancia.</t>
  </si>
  <si>
    <t>Hipocresia</t>
  </si>
  <si>
    <t>La contracción involuntaria del diafragma se hacía más grande</t>
  </si>
  <si>
    <t>falsedad</t>
  </si>
  <si>
    <t>Fingimiento de sentimientos.</t>
  </si>
  <si>
    <t>Hipocresía</t>
  </si>
  <si>
    <t>Almacenada</t>
  </si>
  <si>
    <t>Estado de la mente que se alcanza luego de la última comida del día</t>
  </si>
  <si>
    <t>Guardar cosas en un almacén.</t>
  </si>
  <si>
    <t>Almacenar</t>
  </si>
  <si>
    <t>Demonio</t>
  </si>
  <si>
    <t>Esta letra posterior a la c se viste elegante pero no con corbata</t>
  </si>
  <si>
    <t>Espíritu o ser sobrenatural que encarna el mal.</t>
  </si>
  <si>
    <t>Turbar</t>
  </si>
  <si>
    <t>Paseo turístico donde se va a beber</t>
  </si>
  <si>
    <t>Alterar el estado o curso natural de algo.</t>
  </si>
  <si>
    <t>Hojalata</t>
  </si>
  <si>
    <t>Anuda el lugar reservado para el botón</t>
  </si>
  <si>
    <t>Lámina de acero o hierro cubierta de estaño por ambas caras.</t>
  </si>
  <si>
    <t>Centauro</t>
  </si>
  <si>
    <t>Signo del zodíaco budista</t>
  </si>
  <si>
    <t>Animal mitológico mitad hombre mitad caballo.</t>
  </si>
  <si>
    <t>Preparar</t>
  </si>
  <si>
    <t>Antes de detener</t>
  </si>
  <si>
    <t>Hacer lo que se requiera para obtener un producto.</t>
  </si>
  <si>
    <t>Abuela</t>
  </si>
  <si>
    <t>Vocal que cuando se despega del piso tiene nietos</t>
  </si>
  <si>
    <t>tiene nietos</t>
  </si>
  <si>
    <t>Madre de la madre o padre de una persona.</t>
  </si>
  <si>
    <t>Biografico</t>
  </si>
  <si>
    <t>Posó sus ojos sobre el dibujo demostrativo</t>
  </si>
  <si>
    <t>Relativo a la historia de la vida de una persona.</t>
  </si>
  <si>
    <t>Biográfico</t>
  </si>
  <si>
    <t>Milagros</t>
  </si>
  <si>
    <t>Número exacto de zonas rurales agrícolas que genera gracias divinas</t>
  </si>
  <si>
    <t>suma uno</t>
  </si>
  <si>
    <t>Suceso inexplicable que se atribuye a la intervención divina.</t>
  </si>
  <si>
    <t>Milagro</t>
  </si>
  <si>
    <t>Manifiesta</t>
  </si>
  <si>
    <t>Celebración del cacahuate</t>
  </si>
  <si>
    <t>Que es evidente, que se percibe con claridad.</t>
  </si>
  <si>
    <t>Participa</t>
  </si>
  <si>
    <t>Me fui, sí, padre</t>
  </si>
  <si>
    <t>Actuar junto con otros en una actividad o suceso.</t>
  </si>
  <si>
    <t>Buho</t>
  </si>
  <si>
    <t>Concatenación de la interjección para asustar y la del susto</t>
  </si>
  <si>
    <t>Ave rapaz nocturna.</t>
  </si>
  <si>
    <t>Catarsis</t>
  </si>
  <si>
    <t>Utilizar el gusto para saborear las afirmaciones</t>
  </si>
  <si>
    <t>Liberación de recuerdos que alteran el equilibrio nervioso.</t>
  </si>
  <si>
    <t>Amazona</t>
  </si>
  <si>
    <t>Quiere mucho una parte del terreno</t>
  </si>
  <si>
    <t>mujer a caballo</t>
  </si>
  <si>
    <t>Mujer que monta a caballo.</t>
  </si>
  <si>
    <t>Resbalon</t>
  </si>
  <si>
    <t>Pelota utilizada en algunos deportes que posee cuatro patas y muge</t>
  </si>
  <si>
    <t>Acción de resbalar sobre una superficie.</t>
  </si>
  <si>
    <t>Resbalón</t>
  </si>
  <si>
    <t>Enamorar</t>
  </si>
  <si>
    <t>Vivir en la letra primera</t>
  </si>
  <si>
    <t>Hacer que una persona sienta amor por ella.</t>
  </si>
  <si>
    <t>Expresion</t>
  </si>
  <si>
    <t>Ya no es una fuerza que empuja</t>
  </si>
  <si>
    <t>déjalo ser</t>
  </si>
  <si>
    <t>Manifestación con palabras.</t>
  </si>
  <si>
    <t>Expresión</t>
  </si>
  <si>
    <t>Pasantias</t>
  </si>
  <si>
    <t>Desfilan hermanas de la madre</t>
  </si>
  <si>
    <t>Actividad del estudiante que realiza prácticas.</t>
  </si>
  <si>
    <t>Pasantías</t>
  </si>
  <si>
    <t>Adivino</t>
  </si>
  <si>
    <t>Primera letra nombra a una bebida proveniente de la uva</t>
  </si>
  <si>
    <t>Persona que hace predicciones.</t>
  </si>
  <si>
    <t>Amoratado</t>
  </si>
  <si>
    <t>Mucho querer atrapado con sogas</t>
  </si>
  <si>
    <t>De color morado.</t>
  </si>
  <si>
    <t>Mamadera</t>
  </si>
  <si>
    <t>Podría ser la madre de Pinocho</t>
  </si>
  <si>
    <t>Biberón. Utensillo con el que se le da de tomar leche a los bebes.</t>
  </si>
  <si>
    <t>Horcajada</t>
  </si>
  <si>
    <t>Ballena asesina maltratada</t>
  </si>
  <si>
    <t>Forma de montar un caballo, con una pierna a cada lado del animal.</t>
  </si>
  <si>
    <t>Alternar</t>
  </si>
  <si>
    <t>Sucede al juntarlos de a tres</t>
  </si>
  <si>
    <t>uno si, uno no</t>
  </si>
  <si>
    <t>Sucederse unas cosas con otras alternativamente.</t>
  </si>
  <si>
    <t>Gravedad</t>
  </si>
  <si>
    <t>Cantidad de años no agudos de una persona</t>
  </si>
  <si>
    <t>fuerza de atracción</t>
  </si>
  <si>
    <t>Seriedad, importancia. Fuerza que hace que los cuerpos se dirijan hacia el centro de la tierra.</t>
  </si>
  <si>
    <t>Amoblar</t>
  </si>
  <si>
    <t>Estoy enamorado del pago de facturas</t>
  </si>
  <si>
    <t>Poner muebles en un espacio.</t>
  </si>
  <si>
    <t>X</t>
  </si>
  <si>
    <t>Coronacion</t>
  </si>
  <si>
    <t>Grupo de cantantes que forman un país</t>
  </si>
  <si>
    <t>Acto en el que se corona a un rey o reina.</t>
  </si>
  <si>
    <t>Coronación</t>
  </si>
  <si>
    <t>Salud</t>
  </si>
  <si>
    <t>Quítate, usted abreviado</t>
  </si>
  <si>
    <t>Estado en el que un ser vivo no tiene ninguna enfermedad ni lesión.</t>
  </si>
  <si>
    <t>Acapara</t>
  </si>
  <si>
    <t>Se detiene en este mismo lugar como un avaro</t>
  </si>
  <si>
    <t>guarda y guarda</t>
  </si>
  <si>
    <t>Acumular cosas que otros también quieren o necesitan.</t>
  </si>
  <si>
    <t>Acaparar</t>
  </si>
  <si>
    <t>Crisol</t>
  </si>
  <si>
    <t>Medio sonido del grillo que ilumina de día</t>
  </si>
  <si>
    <t>Vaso fabricado con material refractario que se utiliza para fundir metales.</t>
  </si>
  <si>
    <t>Producto</t>
  </si>
  <si>
    <t>A favor de la tubería</t>
  </si>
  <si>
    <t>Resultado obtenido de un trabajo u operación.</t>
  </si>
  <si>
    <t>Mucama</t>
  </si>
  <si>
    <t>Litera vacuna</t>
  </si>
  <si>
    <t>Empleado que hace los trabajos domésticos de una casa u hotel.</t>
  </si>
  <si>
    <t>Maniatico</t>
  </si>
  <si>
    <t>Cacahuate para comer en la baulera del último piso</t>
  </si>
  <si>
    <t>Persona que tiene alguna manía.</t>
  </si>
  <si>
    <t>Maniático</t>
  </si>
  <si>
    <t>Botavara</t>
  </si>
  <si>
    <t>Sufraga la rama fina</t>
  </si>
  <si>
    <t>Palo horizontal que está asegurado al mástil de un barco y sirve para sujetar la vela.</t>
  </si>
  <si>
    <t>Patalea</t>
  </si>
  <si>
    <t>Interprete lo escrito la extremidad del animal</t>
  </si>
  <si>
    <t>Mover las piernas o las patas en forma rápida y violenta.</t>
  </si>
  <si>
    <t>Patalear</t>
  </si>
  <si>
    <t>Parentesis</t>
  </si>
  <si>
    <t>Dentro de la proposición racional hay dos</t>
  </si>
  <si>
    <t>Signo de puntuación que sirve para encerrar una frase o comentario en un texto.</t>
  </si>
  <si>
    <t>Paréntesis</t>
  </si>
  <si>
    <t>Canje</t>
  </si>
  <si>
    <t>Perro risa de historieta</t>
  </si>
  <si>
    <t>Trueque o cambio.</t>
  </si>
  <si>
    <t>Maritimo</t>
  </si>
  <si>
    <t>Conjunción de una gran extensión de agua salada y un engaño</t>
  </si>
  <si>
    <t>Relativo o perteneciente al mar.</t>
  </si>
  <si>
    <t>Marítimo</t>
  </si>
  <si>
    <t>Vacantes</t>
  </si>
  <si>
    <t>La madre del ternero anticipada</t>
  </si>
  <si>
    <t>Que está libre, sin ser ocupado.</t>
  </si>
  <si>
    <t>Vacante</t>
  </si>
  <si>
    <t>Festival</t>
  </si>
  <si>
    <t>Creencia de verano</t>
  </si>
  <si>
    <t>Exhibición o concurso de artes.</t>
  </si>
  <si>
    <t>Adivina</t>
  </si>
  <si>
    <t>La primera letra es hermosa</t>
  </si>
  <si>
    <t>conjetura</t>
  </si>
  <si>
    <t>Mujer que hace predicciones.</t>
  </si>
  <si>
    <t>Sedoso</t>
  </si>
  <si>
    <t>Deseo grande y peludo de tomar agua</t>
  </si>
  <si>
    <t>Que tiene la suavidad de la seda.</t>
  </si>
  <si>
    <t>Doncella</t>
  </si>
  <si>
    <t>No deja grietas en el talento innato</t>
  </si>
  <si>
    <t>Mujer joven.</t>
  </si>
  <si>
    <t>Amarizar</t>
  </si>
  <si>
    <t>Elevar el querer en un mástil</t>
  </si>
  <si>
    <t>Posarse en el agua un hidroavión.</t>
  </si>
  <si>
    <t>Postiza</t>
  </si>
  <si>
    <t>Después de la que escribe en el pizarrón</t>
  </si>
  <si>
    <t>Que no es natural, sino agregado para reemplazarlo.</t>
  </si>
  <si>
    <t>Hipocampo</t>
  </si>
  <si>
    <t>Contracción involuntaria del prado</t>
  </si>
  <si>
    <t>Pez marino pequeño cuya cabeza recuerda a la de un caballo.</t>
  </si>
  <si>
    <t>Pariente</t>
  </si>
  <si>
    <t>Tuve un hijo dentro de una infusión china</t>
  </si>
  <si>
    <t>familiar</t>
  </si>
  <si>
    <t>Que pertenece a la misma familia.</t>
  </si>
  <si>
    <t>Paciencia</t>
  </si>
  <si>
    <t>Conocimiento estructurado y sistemático del padre abreviado</t>
  </si>
  <si>
    <t>tranquilidad</t>
  </si>
  <si>
    <t>Calma o tranquilidad para esperar o soportar situaciones adversas.</t>
  </si>
  <si>
    <t>Cuajado</t>
  </si>
  <si>
    <t>Sonido que emite el pato deteriorado</t>
  </si>
  <si>
    <t>Unir y trabar las partes de un líquido para convertirlo en sólido.</t>
  </si>
  <si>
    <t>Cuajar</t>
  </si>
  <si>
    <t>Cuchilla</t>
  </si>
  <si>
    <t>La q emite un quejido</t>
  </si>
  <si>
    <t>herramienta cortante</t>
  </si>
  <si>
    <t>Instrumento compuesto por una hoja generalmente de acero afilado y un mango para sostenerlo.</t>
  </si>
  <si>
    <t>Secuencia</t>
  </si>
  <si>
    <t>Conozco la Q que sostiene los dientes</t>
  </si>
  <si>
    <t>Serie de elementos que suceden unos a otros.</t>
  </si>
  <si>
    <t>Caracu</t>
  </si>
  <si>
    <t>Rostro de Q</t>
  </si>
  <si>
    <t>Tuétano de los animales.</t>
  </si>
  <si>
    <t>Cuspide</t>
  </si>
  <si>
    <t>Solicita varias Q</t>
  </si>
  <si>
    <t>Parte más elevada de una montaña o elevación.</t>
  </si>
  <si>
    <t>Cúspide</t>
  </si>
  <si>
    <t>Cuando</t>
  </si>
  <si>
    <t>Me desplazo Q</t>
  </si>
  <si>
    <t>Introduce una oración que indica el tiempo en el que ocurre algo.</t>
  </si>
  <si>
    <t>Cuarta</t>
  </si>
  <si>
    <t>Letra Q que se quedó sin paciencia</t>
  </si>
  <si>
    <t>Que ocupa el lugar número cuatro en una serie ordenada.</t>
  </si>
  <si>
    <t>Cuarto</t>
  </si>
  <si>
    <t>Cuidado</t>
  </si>
  <si>
    <t>Cubo con puntitos y Q</t>
  </si>
  <si>
    <t>Acción de cuidar. Esmero por hacer algo bien.</t>
  </si>
  <si>
    <t>Acunado</t>
  </si>
  <si>
    <t>Muevo mis brazos y piernas en el agua para llegar a la Q</t>
  </si>
  <si>
    <t>Mecer a un niño en la cuna.</t>
  </si>
  <si>
    <t>Acunar</t>
  </si>
  <si>
    <t>Encuentro</t>
  </si>
  <si>
    <t>Ingreso en la Q</t>
  </si>
  <si>
    <t>Reunión casual o no, de dos o más personas.</t>
  </si>
  <si>
    <t>Excusado</t>
  </si>
  <si>
    <t>Q que ya no disfruta haciendo sufrir al masoquista</t>
  </si>
  <si>
    <t>Que tiene disculpa o está exento de algo. Retrete.</t>
  </si>
  <si>
    <t>Cuneta</t>
  </si>
  <si>
    <t>Q a la que se le ha quitado lo que le sobra</t>
  </si>
  <si>
    <t>Zanja que se encuentra a los costados de un camino.</t>
  </si>
  <si>
    <t>Cubierto</t>
  </si>
  <si>
    <t>Derramo la Q</t>
  </si>
  <si>
    <t>Utensillo generalmente metálico que se utiliza para comer.</t>
  </si>
  <si>
    <t>Cupon</t>
  </si>
  <si>
    <t>Coloca tú la letra que sigue a la p</t>
  </si>
  <si>
    <t>Parte recortable de un documento para entregar al hacer uso de aquello que confiere.</t>
  </si>
  <si>
    <t>Cupón</t>
  </si>
  <si>
    <t>Mariachis</t>
  </si>
  <si>
    <t>Océano y estornudo</t>
  </si>
  <si>
    <t>Música popular de Jalisco, México.</t>
  </si>
  <si>
    <t>Mariachi</t>
  </si>
  <si>
    <t>Anciano</t>
  </si>
  <si>
    <t>Desea intensamente el adverbio de negación</t>
  </si>
  <si>
    <t>Persona que tiene muchos años.</t>
  </si>
  <si>
    <t>Fenomenos</t>
  </si>
  <si>
    <t>Creencia que niega la resta</t>
  </si>
  <si>
    <t>Suceso, hecho. Algo extraordinario, fuera de lo común.</t>
  </si>
  <si>
    <t>Fenómeno</t>
  </si>
  <si>
    <t>Evasiva</t>
  </si>
  <si>
    <t>Se afirma que la primera mujer bíblica se dirige hacia un lugar</t>
  </si>
  <si>
    <t>Recurso para eludir un peligro o una dificultad.</t>
  </si>
  <si>
    <t>Subasta</t>
  </si>
  <si>
    <t>Por debajo del límite superior</t>
  </si>
  <si>
    <t>¿quien da más?</t>
  </si>
  <si>
    <t>Venta pública en la que se adjudica un bien a quien ofrece más dinero.</t>
  </si>
  <si>
    <t>Amansadora</t>
  </si>
  <si>
    <t>Pone de color dorado a la tranquila</t>
  </si>
  <si>
    <t>Espera prolongada, generalmente cuando se realizan trámites burocráticos.</t>
  </si>
  <si>
    <t>Contenidos</t>
  </si>
  <si>
    <t>Enumeré la cantidad de lechos donde las aves incuban los huevos</t>
  </si>
  <si>
    <t>Que se reprime, que no se expresa abiertamente.</t>
  </si>
  <si>
    <t>Contenido</t>
  </si>
  <si>
    <t>Monarca</t>
  </si>
  <si>
    <t>Pareja del mono que tiene forma de caja con candado</t>
  </si>
  <si>
    <t>Soberano de una monarquía.</t>
  </si>
  <si>
    <t>Pancarta</t>
  </si>
  <si>
    <t>Masa de harina cocida al horno que se envía por correo</t>
  </si>
  <si>
    <t>Cartel informativo que suele utilizarse en las protestas populares.</t>
  </si>
  <si>
    <t>Fiambre</t>
  </si>
  <si>
    <t>Entrega ganas de comer confiando recibir el pago en el futuro</t>
  </si>
  <si>
    <t>Alimento que se come frío, como los embutidos o carnes.</t>
  </si>
  <si>
    <t>Cremoso</t>
  </si>
  <si>
    <t>Pongo el oso en la pira</t>
  </si>
  <si>
    <t>Que tiene el aspecto o la textura de la crema.</t>
  </si>
  <si>
    <t>Canaliza</t>
  </si>
  <si>
    <t>Pelo blanco sin rulos</t>
  </si>
  <si>
    <t>Abrir o construir canales para la conducción de gases o líquidos.</t>
  </si>
  <si>
    <t>Canalizar</t>
  </si>
  <si>
    <t>Ascensor</t>
  </si>
  <si>
    <t>Crean una monja</t>
  </si>
  <si>
    <t>Elevador para transportar personas o cosas entre los pisos de un edificio.</t>
  </si>
  <si>
    <t>Catres</t>
  </si>
  <si>
    <t>Camas plegables formadas por una letra y un número</t>
  </si>
  <si>
    <t>Cama individual y sencilla que suele ser plegable.</t>
  </si>
  <si>
    <t>Planteo</t>
  </si>
  <si>
    <t>Proyecto Dios</t>
  </si>
  <si>
    <t>Exponer un problema o asunto.</t>
  </si>
  <si>
    <t>Degenera</t>
  </si>
  <si>
    <t>Abandonen período geológico de larga duración</t>
  </si>
  <si>
    <t>Perder la calidad o virtudes originales.</t>
  </si>
  <si>
    <t>Degenerar</t>
  </si>
  <si>
    <t>Trenzado</t>
  </si>
  <si>
    <t>Medio de transporte que le gusta al maquinista masoquista</t>
  </si>
  <si>
    <t>Enlazar tres hilos pasando uno sobre otro alternativamente.</t>
  </si>
  <si>
    <t>Trenzar</t>
  </si>
  <si>
    <t>Domar</t>
  </si>
  <si>
    <t>Nota musical que hace olas</t>
  </si>
  <si>
    <t>Amansar y hacer dócil a un animal salvaje.</t>
  </si>
  <si>
    <t>Milenio</t>
  </si>
  <si>
    <t>Pedazo de tronco de un árbol cortado que es mío</t>
  </si>
  <si>
    <t>Período de mil años.</t>
  </si>
  <si>
    <t>Vistoso</t>
  </si>
  <si>
    <t>Le pongo la ropa al animal peludo que gusta de la miel</t>
  </si>
  <si>
    <t>Que atrae la atención.</t>
  </si>
  <si>
    <t>Referido</t>
  </si>
  <si>
    <t>Árbitro anterior al RE</t>
  </si>
  <si>
    <t>Narrar un acontecimiento.</t>
  </si>
  <si>
    <t>Referir</t>
  </si>
  <si>
    <t>Rozamiento</t>
  </si>
  <si>
    <t>No digo la verdad de un color suave</t>
  </si>
  <si>
    <t>Tocar ligeramente la superficie de una cosa.</t>
  </si>
  <si>
    <t>Rozar</t>
  </si>
  <si>
    <t>Mentecato</t>
  </si>
  <si>
    <t>Degusto el cerebro</t>
  </si>
  <si>
    <t>Tonto, de juicio escaso.</t>
  </si>
  <si>
    <t>Receta</t>
  </si>
  <si>
    <t>Última vaca del abecedario</t>
  </si>
  <si>
    <t>te ayuda a cocinar</t>
  </si>
  <si>
    <t>Prescripción médica. Método para hacer cierta cosa.</t>
  </si>
  <si>
    <t>Buque</t>
  </si>
  <si>
    <t>Barco formado por susto clásico y pregunta clásica</t>
  </si>
  <si>
    <t>gran barco</t>
  </si>
  <si>
    <t>Barco de grandes dimensiones.</t>
  </si>
  <si>
    <t>Ostentaba</t>
  </si>
  <si>
    <t>Ofrecía cosas para que la herramienta de la parca quisiera algo</t>
  </si>
  <si>
    <t>Exhibir algo con vanidad.</t>
  </si>
  <si>
    <t>Ostentar</t>
  </si>
  <si>
    <t>Escalable</t>
  </si>
  <si>
    <t>Modo de indicar que un objeto se puede cortar</t>
  </si>
  <si>
    <t>Subir a una altura trepando.</t>
  </si>
  <si>
    <t>Escalar</t>
  </si>
  <si>
    <t>Durazno</t>
  </si>
  <si>
    <t>Fruta que niega las que no son blandas</t>
  </si>
  <si>
    <t>Árbol y su fruto, de la familia de los melocotoneros.</t>
  </si>
  <si>
    <t>Expresa</t>
  </si>
  <si>
    <t>La que solía estar en la cárcel</t>
  </si>
  <si>
    <t>Manifestar con palabras.</t>
  </si>
  <si>
    <t>Expresar</t>
  </si>
  <si>
    <t>Novillo</t>
  </si>
  <si>
    <t>No tuve oportunidad de ver y era un toro joven</t>
  </si>
  <si>
    <t>pequeña vaca macho</t>
  </si>
  <si>
    <t>Res vacuna de dos o tres años.</t>
  </si>
  <si>
    <t>Exaltar</t>
  </si>
  <si>
    <t>Lugar donde se besan los ex novios por última vez</t>
  </si>
  <si>
    <t>Avivar los sentimientos. Elevar a una persona o cosa a una dignidad mayor.</t>
  </si>
  <si>
    <t>Amenorrea</t>
  </si>
  <si>
    <t>Que se enamore de una mujer no acusada en un juicio</t>
  </si>
  <si>
    <t>Ausencia de la menstruación.</t>
  </si>
  <si>
    <t>Presionado</t>
  </si>
  <si>
    <t>Braceo y pataleo el importe a pagar</t>
  </si>
  <si>
    <t>Hacer fuerza sobre una cosa.</t>
  </si>
  <si>
    <t>Presionar</t>
  </si>
  <si>
    <t>Usurpar</t>
  </si>
  <si>
    <t>U punto cardinal divisible por dos</t>
  </si>
  <si>
    <t>Apropiarse de forma injusta de lo que pertenece a otro.</t>
  </si>
  <si>
    <t>Cebolla</t>
  </si>
  <si>
    <t>Tercera letra que sirve para marcar en el agua</t>
  </si>
  <si>
    <t>Planta hortícola de tallo hueco, con bulbo comestible.</t>
  </si>
  <si>
    <t>Aliados</t>
  </si>
  <si>
    <t>Una de las vocales anuda un par</t>
  </si>
  <si>
    <t>Unido a otro para un fin determinado.</t>
  </si>
  <si>
    <t>Aliado</t>
  </si>
  <si>
    <t>Detenido</t>
  </si>
  <si>
    <t>Lugar donde se empolla el sobrecito de té</t>
  </si>
  <si>
    <t>Privado provisionalmente de la libertad.</t>
  </si>
  <si>
    <t>Antipoda</t>
  </si>
  <si>
    <t>En contra del recorte del jardinero</t>
  </si>
  <si>
    <t>Lugar del globo terrestre diametralmente opuesto al que se toma de referencia.</t>
  </si>
  <si>
    <t>Antípoda</t>
  </si>
  <si>
    <t>Mosaico</t>
  </si>
  <si>
    <t>Alentar a una mujer que atiende una mesa de un bar como si fuera un caballo</t>
  </si>
  <si>
    <t>Obra pictórica realizada con pequeñas piezas de vidrio, cerámica u otros materiales.</t>
  </si>
  <si>
    <t>Confirmado</t>
  </si>
  <si>
    <t>Español de withsigned</t>
  </si>
  <si>
    <t>Verificar la verdad de algo.</t>
  </si>
  <si>
    <t>Confirmar</t>
  </si>
  <si>
    <t>Promesa</t>
  </si>
  <si>
    <t>A favor de un mueble de cuatro patas</t>
  </si>
  <si>
    <t>Compromiso que hace una persona de cumplir algo.</t>
  </si>
  <si>
    <t>Antifaz</t>
  </si>
  <si>
    <t>Se opone a una de las caras</t>
  </si>
  <si>
    <t>Máscara con la que se cubren la cara, especialmente alrededor de los ojos.</t>
  </si>
  <si>
    <t>Piojos</t>
  </si>
  <si>
    <t>Órgano de la vista de la relación entre diámetro y circunferencia</t>
  </si>
  <si>
    <t>Insecto parásito que habita en el pelo de los seres humanos y otros mamíferos.</t>
  </si>
  <si>
    <t>Piojo</t>
  </si>
  <si>
    <t>Pifiar</t>
  </si>
  <si>
    <t>Dar a pagar tres pesos con catorce centavos</t>
  </si>
  <si>
    <t>Errar, equivocarse.</t>
  </si>
  <si>
    <t>Propiedad</t>
  </si>
  <si>
    <t>Estar a favor de los 3,14 años de una persona</t>
  </si>
  <si>
    <t>característica</t>
  </si>
  <si>
    <t>Cosa sobre la que se tiene posesión.</t>
  </si>
  <si>
    <t>Pionono</t>
  </si>
  <si>
    <t>Disyunción entre la relación del diámetro y el sueño que niega dos veces</t>
  </si>
  <si>
    <t>Producto de repostería elaborado a base de bizcochuelo.</t>
  </si>
  <si>
    <t>Pilote</t>
  </si>
  <si>
    <t>Terreno que mide 3.14</t>
  </si>
  <si>
    <t>Elemento de construcción que se clava en la tierra para asegurar los cimientos de un edificio.</t>
  </si>
  <si>
    <t>Pino</t>
  </si>
  <si>
    <t>Árbol que niega 3.14 veces</t>
  </si>
  <si>
    <t>conífera</t>
  </si>
  <si>
    <t>Identifica a ciertos árboles coníferos.</t>
  </si>
  <si>
    <t>Pimienta</t>
  </si>
  <si>
    <t>Que no diga la verdad la relación entre el diámetro y la circunferencia</t>
  </si>
  <si>
    <t>Fruto del pimentero que se utiliza como condimento.</t>
  </si>
  <si>
    <t>Nimiedad</t>
  </si>
  <si>
    <t>Siquiera tiene mis años</t>
  </si>
  <si>
    <t>De poca o ninguna importancia. Insignificancia.</t>
  </si>
  <si>
    <t>Carpincho</t>
  </si>
  <si>
    <t>Clavo algo puntiagudo en el auto inglés</t>
  </si>
  <si>
    <t>Mamífero roedor con hábitos semiacuáticos.</t>
  </si>
  <si>
    <t>Catalogo</t>
  </si>
  <si>
    <t>Distingue la calidad de la identificación gráfica de una marca</t>
  </si>
  <si>
    <t>Lista clasificada u ordenada de objetos o personas.</t>
  </si>
  <si>
    <t>Pistacho</t>
  </si>
  <si>
    <t>Recipiente precario de orina</t>
  </si>
  <si>
    <t>Fruto de cáscara dura con interior de color verdoso comestible.</t>
  </si>
  <si>
    <t>Comandos</t>
  </si>
  <si>
    <t>Repitan lo que comen</t>
  </si>
  <si>
    <t>Grupo de soldados especialmente adiestrados.</t>
  </si>
  <si>
    <t>Comando</t>
  </si>
  <si>
    <t>Mascara</t>
  </si>
  <si>
    <t>Tiene mayor precio y cubre la cara</t>
  </si>
  <si>
    <t>oculta el rostro</t>
  </si>
  <si>
    <t>Objeto que se utiliza para cubrir el rostro.</t>
  </si>
  <si>
    <t>Máscara</t>
  </si>
  <si>
    <t>Margarita</t>
  </si>
  <si>
    <t>Extensión de agua salada donde se refugian los guardias</t>
  </si>
  <si>
    <t>Planta con flores, con pétalos blancos y centro amarillo.</t>
  </si>
  <si>
    <t>Aguardado</t>
  </si>
  <si>
    <t>Conservación de la primera nota que hace su par del abecedario</t>
  </si>
  <si>
    <t>Esperar a alguien.</t>
  </si>
  <si>
    <t>Aguardar</t>
  </si>
  <si>
    <t>Entrenados</t>
  </si>
  <si>
    <t>Ingresen a una dupla</t>
  </si>
  <si>
    <t>Que está preparado o adiestrado físicamente.</t>
  </si>
  <si>
    <t>Entrenado</t>
  </si>
  <si>
    <t>Ausente</t>
  </si>
  <si>
    <t>Coloqué a la U en una silla</t>
  </si>
  <si>
    <t>Que no está presente.</t>
  </si>
  <si>
    <t>Pelaje</t>
  </si>
  <si>
    <t>Le quita la cáscara a la G</t>
  </si>
  <si>
    <t>Pelo o lana de un animal.</t>
  </si>
  <si>
    <t>Evidente</t>
  </si>
  <si>
    <t>Letra E capaz de adivinar el futuro</t>
  </si>
  <si>
    <t>Claro, que no deja dudas.</t>
  </si>
  <si>
    <t>Mousse</t>
  </si>
  <si>
    <t>Único postre que pueden pedir las vacas</t>
  </si>
  <si>
    <t>Crema esponjosa que suele comerse como postre.</t>
  </si>
  <si>
    <t>Entenado</t>
  </si>
  <si>
    <t>Me desplazo en la bebida que toman los ingleses a las 17:00</t>
  </si>
  <si>
    <t>Hijastro.</t>
  </si>
  <si>
    <t>Arcabuz</t>
  </si>
  <si>
    <t>Arma antigua formada por la nave de Noé y un transporte público</t>
  </si>
  <si>
    <t>Arma de fuego antigua similar al fusil.</t>
  </si>
  <si>
    <t>Combinada</t>
  </si>
  <si>
    <t>Furgoneta antónimo de todo</t>
  </si>
  <si>
    <t>Mezclar cosas para que compongan una sola.</t>
  </si>
  <si>
    <t>Combinar</t>
  </si>
  <si>
    <t>Precoz</t>
  </si>
  <si>
    <t>Antes de la patada del caballo</t>
  </si>
  <si>
    <t>Prematuro. Que sucede antes de lo esperado o usual.</t>
  </si>
  <si>
    <t>Desfila</t>
  </si>
  <si>
    <t>Entregues cosas una detrás de otra</t>
  </si>
  <si>
    <t>Marcar en fila.</t>
  </si>
  <si>
    <t>Desfilar</t>
  </si>
  <si>
    <t>Consumido</t>
  </si>
  <si>
    <t>Realizo una medición con el apócope de Susana</t>
  </si>
  <si>
    <t>Persona delgada en extremo o de mal aspecto.</t>
  </si>
  <si>
    <t>Tumbados</t>
  </si>
  <si>
    <t>Sepulcro anterior al tres</t>
  </si>
  <si>
    <t>Hacer caer a una persona o cosa.</t>
  </si>
  <si>
    <t>Tumbar</t>
  </si>
  <si>
    <t>Azalea</t>
  </si>
  <si>
    <t>Inteprete como símbolos lo que tiene la olla para asirla</t>
  </si>
  <si>
    <t>Arbusto con flores de varios colores.</t>
  </si>
  <si>
    <t>Sorteo</t>
  </si>
  <si>
    <t>Monja Dios</t>
  </si>
  <si>
    <t>Echar a la suerte.</t>
  </si>
  <si>
    <t>Sortear</t>
  </si>
  <si>
    <t>Derrota</t>
  </si>
  <si>
    <t>Letra D quebrada</t>
  </si>
  <si>
    <t>Vencer a un rival.</t>
  </si>
  <si>
    <t>Derrotar</t>
  </si>
  <si>
    <t>Cruzar</t>
  </si>
  <si>
    <t>Dos barras perpendiculares que forman un monarca imperial ruso</t>
  </si>
  <si>
    <t>Poner dos cosas en forma de cruz. Atravesar un lugar, campo, calle, etc.</t>
  </si>
  <si>
    <t>Mestiza</t>
  </si>
  <si>
    <t>Parte del año que escribe en el pizarrón</t>
  </si>
  <si>
    <t>Que resulta de la mezcla de razas o culturas diferentes.</t>
  </si>
  <si>
    <t>Universos</t>
  </si>
  <si>
    <t>Junté partes de un poema</t>
  </si>
  <si>
    <t>Conjunto de todo lo creado.</t>
  </si>
  <si>
    <t>Consentido</t>
  </si>
  <si>
    <t>Antónimo lógico de sinsentido</t>
  </si>
  <si>
    <t>Mimado en exceso.</t>
  </si>
  <si>
    <t>Escaparate</t>
  </si>
  <si>
    <t>Huir a la infusión china</t>
  </si>
  <si>
    <t>Espacio donde se exhiben los productos de un comercio. Vidriera.</t>
  </si>
  <si>
    <t>Estadios</t>
  </si>
  <si>
    <t>Recintos para competencias deportivas que indican la presencia del Todopoderoso</t>
  </si>
  <si>
    <t>Recinto donde se practican deportes, con gradas para los espectadores.</t>
  </si>
  <si>
    <t>Estadio</t>
  </si>
  <si>
    <t>Costera</t>
  </si>
  <si>
    <t>Patada de burro del billón</t>
  </si>
  <si>
    <t>Relacionada con la costa.</t>
  </si>
  <si>
    <t>Pantalon</t>
  </si>
  <si>
    <t>Parte del pie hecha de harina cocida al horno</t>
  </si>
  <si>
    <t>Prenda de vestir que cubre las piernas en forma separada, desde la cintura hasta los tobillos.</t>
  </si>
  <si>
    <t>Pantalón</t>
  </si>
  <si>
    <t>Cabecera</t>
  </si>
  <si>
    <t>Hay suficiente espacio para el compuesto principal de la vela</t>
  </si>
  <si>
    <t>Extremo de la cama donde se acomodan la almohada y la cabeza.</t>
  </si>
  <si>
    <t>Diacono</t>
  </si>
  <si>
    <t>Triángulo rectángulo que gira sobre su eje 24 horas</t>
  </si>
  <si>
    <t>Clérigo católico de grado inferior al sacerdote.</t>
  </si>
  <si>
    <t>Diácono</t>
  </si>
  <si>
    <t>Cosaco</t>
  </si>
  <si>
    <t>Patada de caballo con forma de bolsa abierta en uno de sus lados</t>
  </si>
  <si>
    <t>Perteneciente a un antiguo pueblo pastor y guerrero que se estableció en las estepas del sur de Rusia en el siglo XV.</t>
  </si>
  <si>
    <t>Memoriosa</t>
  </si>
  <si>
    <t>Que tiene buena memoria.</t>
  </si>
  <si>
    <t>Miseria</t>
  </si>
  <si>
    <t>Reina de la seriedad</t>
  </si>
  <si>
    <t>Pobreza extrema.</t>
  </si>
  <si>
    <t>Cisterna</t>
  </si>
  <si>
    <t>Conjunto de tres afirmaciones</t>
  </si>
  <si>
    <t>Depósito para recoger y conservar agua.</t>
  </si>
  <si>
    <t>Comprometa</t>
  </si>
  <si>
    <t>Adquiero una línea de llegada pagando con dinero</t>
  </si>
  <si>
    <t>Poner a una persona o cosa en una situación delicada.</t>
  </si>
  <si>
    <t>Comprometer</t>
  </si>
  <si>
    <t>Piano</t>
  </si>
  <si>
    <t>El pollo niega al emitir su sonido</t>
  </si>
  <si>
    <t>Instrumento musical con teclas y cuerdas.</t>
  </si>
  <si>
    <t>Tirabuzon</t>
  </si>
  <si>
    <t>Arroja el lugar donde se tiran las cartas</t>
  </si>
  <si>
    <t>Sacacorchos.</t>
  </si>
  <si>
    <t>Tirabuzón</t>
  </si>
  <si>
    <t>Bizcocho</t>
  </si>
  <si>
    <t>El de la mirada torcida posterior al siete</t>
  </si>
  <si>
    <t>Maza base hecha de harina, huevos, azúcar y levadura.</t>
  </si>
  <si>
    <t>Negocio</t>
  </si>
  <si>
    <t>Dijo que no a la falta total de actividad</t>
  </si>
  <si>
    <t>Ocupación o trabajo que se realiza para obtener un beneficio.</t>
  </si>
  <si>
    <t>Comprobar</t>
  </si>
  <si>
    <t>Adquiero un lugar donde se expenden bebidas</t>
  </si>
  <si>
    <t>Tener la certeza de algo por haber hecho una comprobación.</t>
  </si>
  <si>
    <t>capacitada</t>
  </si>
  <si>
    <t>Tela suelta que se lleva sobre los hombros que ha sido llamada a declarar</t>
  </si>
  <si>
    <t>Hacer capaz de algo a una persona o cosa.</t>
  </si>
  <si>
    <t>capacitar</t>
  </si>
  <si>
    <t>moraleja</t>
  </si>
  <si>
    <t>Lleva a un lugar más lejano el fruto de la zarzamora</t>
  </si>
  <si>
    <t>Enseñanza que se deduce de un cuento de una experiencia.</t>
  </si>
  <si>
    <t>Moraleja</t>
  </si>
  <si>
    <t>Friolento</t>
  </si>
  <si>
    <t>Baja temperatura de velocidad reducida</t>
  </si>
  <si>
    <t>Que padece el frío.</t>
  </si>
  <si>
    <t>Retenido</t>
  </si>
  <si>
    <t>Desafíe a duelo al lecho construído por las aves</t>
  </si>
  <si>
    <t>Conservar algo.</t>
  </si>
  <si>
    <t>Retener</t>
  </si>
  <si>
    <t>Lenguados</t>
  </si>
  <si>
    <t>Peces posteriores a la primera lengua</t>
  </si>
  <si>
    <t>Pez marino comestible.</t>
  </si>
  <si>
    <t>pretexto</t>
  </si>
  <si>
    <t>Excusa anterior al escrito</t>
  </si>
  <si>
    <t>Excusa.</t>
  </si>
  <si>
    <t>Pretexto</t>
  </si>
  <si>
    <t>Participio</t>
  </si>
  <si>
    <t>Me retiré si hago el sonido del pollo</t>
  </si>
  <si>
    <t>Forma no personal del verbo que funciona como adjetivo.</t>
  </si>
  <si>
    <t>Premisa</t>
  </si>
  <si>
    <t>Anterior a una ceremonia de la Iglesia Católica</t>
  </si>
  <si>
    <t>Afirmación que se asume cierta y sirve de base a un razonamiento.</t>
  </si>
  <si>
    <t>Almacen</t>
  </si>
  <si>
    <t>Lugar de guardado que se forma con un espíritu budista</t>
  </si>
  <si>
    <t>Establecimiento en el que se venden productos en grandes cantidades.</t>
  </si>
  <si>
    <t>desarrollo</t>
  </si>
  <si>
    <t>Entregues un curso de agua de pequeño caudal</t>
  </si>
  <si>
    <t>Hacer que una cosa mejore, progrese o aumente.</t>
  </si>
  <si>
    <t>Desarrollar</t>
  </si>
  <si>
    <t>nominado</t>
  </si>
  <si>
    <t>Suelo sin explosivos</t>
  </si>
  <si>
    <t>Designar o elegir a una persona para que desempeñe una función o cargo.</t>
  </si>
  <si>
    <t>Nominar</t>
  </si>
  <si>
    <t>vigente</t>
  </si>
  <si>
    <t>Percibí con los ojos un conjunto de personas</t>
  </si>
  <si>
    <t>Que tiene validez.</t>
  </si>
  <si>
    <t>Vigente</t>
  </si>
  <si>
    <t>Niego</t>
  </si>
  <si>
    <t>Sin siquiera amor propio</t>
  </si>
  <si>
    <t>Decir que alguna cosa no es verdad.</t>
  </si>
  <si>
    <t>Negar</t>
  </si>
  <si>
    <t>Trepanada</t>
  </si>
  <si>
    <t>Utiliza pies y manos para escalar el éter</t>
  </si>
  <si>
    <t>Perforar el cráneo con un instrumento quirúrgico.</t>
  </si>
  <si>
    <t>Trepanar</t>
  </si>
  <si>
    <t>Visera</t>
  </si>
  <si>
    <t>Pasado de ES que se interpreta a pedido del público una vez que finalizó el concierto</t>
  </si>
  <si>
    <t>Pieza dura y plana que tiene por delante algunas gorras.</t>
  </si>
  <si>
    <t>Topologico</t>
  </si>
  <si>
    <t>Animal que hace cuevas debajo de la tierra y utiliza silogismos</t>
  </si>
  <si>
    <t>Parte de la geometría que estudia las figuras geométricas, sus propiedades y posiciones respectivas.</t>
  </si>
  <si>
    <t>Topología</t>
  </si>
  <si>
    <t>Matrimonio</t>
  </si>
  <si>
    <t>Madre abreviada con tres lazos anudados en el cuello</t>
  </si>
  <si>
    <t>Casamiento, enlace.</t>
  </si>
  <si>
    <t>Tripode</t>
  </si>
  <si>
    <t>Recorte las plantas tres veces</t>
  </si>
  <si>
    <t>Armazón de tres pies, que sirve para sostener ciertos aparatos.</t>
  </si>
  <si>
    <t>Trípode</t>
  </si>
  <si>
    <t>Parametro</t>
  </si>
  <si>
    <t>Detiene cien centímetros</t>
  </si>
  <si>
    <t>Variable que aparece en una ecuación a la que se le puede asignar un valor a voluntad.</t>
  </si>
  <si>
    <t>Parámetro</t>
  </si>
  <si>
    <t>Pescante</t>
  </si>
  <si>
    <t>Que haga sonidos melodiosos un animal acuático</t>
  </si>
  <si>
    <t>Pieza saliente de una pared u otro sitio que sirve para colgar alguna cosa.</t>
  </si>
  <si>
    <t>Cometia</t>
  </si>
  <si>
    <t>Ingiere a la hermana de su progenitor</t>
  </si>
  <si>
    <t>Realizar una acción que constituye un error o una falta.</t>
  </si>
  <si>
    <t>Cometer</t>
  </si>
  <si>
    <t>Tejedor</t>
  </si>
  <si>
    <t>Entrelaza un olor fuerte y desagradable</t>
  </si>
  <si>
    <t>Persona que tiene por oficio tejer.</t>
  </si>
  <si>
    <t>Redonda</t>
  </si>
  <si>
    <t>Tejido de malla de gran profundidad</t>
  </si>
  <si>
    <t>Que tiene forma circular.</t>
  </si>
  <si>
    <t>Cosmico</t>
  </si>
  <si>
    <t>Golpe que dan algunos animales con las patas traseras en forma de mono</t>
  </si>
  <si>
    <t>Del cosmos o relacionado con él.</t>
  </si>
  <si>
    <t>Cósmico</t>
  </si>
  <si>
    <t>Noventa</t>
  </si>
  <si>
    <t>Número que impide la transferencia de un bien a cambio de dinero</t>
  </si>
  <si>
    <t>Número ordinal posterior al ochenta y nueve.</t>
  </si>
  <si>
    <t>Calabozo</t>
  </si>
  <si>
    <t>Recorta el bigote del púber</t>
  </si>
  <si>
    <t>Celda de una cárcel.</t>
  </si>
  <si>
    <t>Pegatina</t>
  </si>
  <si>
    <t>Une la bañadera con pegamento</t>
  </si>
  <si>
    <t>Lámina de papel o plástico con un dibujo o texto que tiene pegamento en uno de sus lados.</t>
  </si>
  <si>
    <t>Precaver</t>
  </si>
  <si>
    <t>Capacidad de ser contenido anticipadamente</t>
  </si>
  <si>
    <t>Prevenir o evitar un riesgo o peligro.</t>
  </si>
  <si>
    <t>Academia</t>
  </si>
  <si>
    <t>En este lugar la D de mi propiedad</t>
  </si>
  <si>
    <t>Lugar donde se da enseñanza a los alumnos que quieren prepararse para una carrera o profesión.</t>
  </si>
  <si>
    <t>Meteoro</t>
  </si>
  <si>
    <t>Fenómeno celestial que introduce un metal precioso</t>
  </si>
  <si>
    <t>Cualquier fenómeno atmosférico que se produce sobre la superficie terrestre, excepto las nubes. Cuerpo de pequeñas dimensiones que cae a la tierra atraído por la gravedad.</t>
  </si>
  <si>
    <t>Agasajo</t>
  </si>
  <si>
    <t>Realices una planta que espanta a los vampiros</t>
  </si>
  <si>
    <t>Trato afectuoso y atento. 
Regalo que una persona da a otra como muestra de afecto o consideración.</t>
  </si>
  <si>
    <t>Nacion</t>
  </si>
  <si>
    <t>Vine al mundo encendido en inglés</t>
  </si>
  <si>
    <t>Comunidad social con organización política, territorio y órganos de gobierno propios, que es soberana y políticamente independiente de otras comunidades.</t>
  </si>
  <si>
    <t>Nación</t>
  </si>
  <si>
    <t>Condenada</t>
  </si>
  <si>
    <t>Título nobiliario que se le da a quien no tiene posesiones</t>
  </si>
  <si>
    <t>Que ha sido castigada por cometer un delito.</t>
  </si>
  <si>
    <t>Soportaba</t>
  </si>
  <si>
    <t>Hueso de las extremidades posteriores que da sueño</t>
  </si>
  <si>
    <t>Llevar y sostener sobre sí un peso o una carga.</t>
  </si>
  <si>
    <t>Soportar</t>
  </si>
  <si>
    <t>Mitomano</t>
  </si>
  <si>
    <t>Narración fabulosa con cinco dedos</t>
  </si>
  <si>
    <t>Media</t>
  </si>
  <si>
    <t>Persona que tiende a mentir o exagerar, algunas veces por razones patológicas.</t>
  </si>
  <si>
    <t>Mitómano</t>
  </si>
  <si>
    <t>Montañoso</t>
  </si>
  <si>
    <t>Se sube sobre el que tiene muchos años</t>
  </si>
  <si>
    <t>Perteneciente o relativo a las montañas.</t>
  </si>
  <si>
    <t>Diademas</t>
  </si>
  <si>
    <t>Forma de nombrar 24 horas que sobran</t>
  </si>
  <si>
    <t>Adorno femenino para sujetar el pelo hacia atrás.</t>
  </si>
  <si>
    <t>Diadema</t>
  </si>
  <si>
    <t>Calamar</t>
  </si>
  <si>
    <t>Recorta la extensión de agua salada</t>
  </si>
  <si>
    <t>Nombre común para llamar a ciertos moluscos.</t>
  </si>
  <si>
    <t>Rescatada</t>
  </si>
  <si>
    <t>Vaca degustada</t>
  </si>
  <si>
    <t>Liberar a una persona secuestrada o retenida contra su voluntad.</t>
  </si>
  <si>
    <t>Rescatar</t>
  </si>
  <si>
    <t>Ocasiono</t>
  </si>
  <si>
    <t>Ganso juego de mesa que debe decidir</t>
  </si>
  <si>
    <t>Causar un efecto con una acción.</t>
  </si>
  <si>
    <t>Ocasionar</t>
  </si>
  <si>
    <t>explaya</t>
  </si>
  <si>
    <t>Lugar que supo tener mar y arena</t>
  </si>
  <si>
    <t>Extenderse mucho al explicar algo.</t>
  </si>
  <si>
    <t>Explayar</t>
  </si>
  <si>
    <t>prelado</t>
  </si>
  <si>
    <t>Antes de que se congele</t>
  </si>
  <si>
    <t>Superior eclesiástico.</t>
  </si>
  <si>
    <t>copia</t>
  </si>
  <si>
    <t>Dice un pollo acompañado por otro</t>
  </si>
  <si>
    <t>Reproducción de un original o de un modelo.</t>
  </si>
  <si>
    <t>langosta</t>
  </si>
  <si>
    <t>Bicho saltarín antónimo de lancha</t>
  </si>
  <si>
    <t>Insecto similar al saltamontes que se reproduce con mucha rapidez y en algunas ocasiones puede convertirse en plaga para la agricultura.</t>
  </si>
  <si>
    <t>arrestado</t>
  </si>
  <si>
    <t>Una vocal sustrae una nota musical</t>
  </si>
  <si>
    <t>Detener, apresar.</t>
  </si>
  <si>
    <t>arrestar</t>
  </si>
  <si>
    <t>Frenesi</t>
  </si>
  <si>
    <t>Detenga afirmación</t>
  </si>
  <si>
    <t>Exaltación de una pasión o sentimiento.</t>
  </si>
  <si>
    <t>Frenesí</t>
  </si>
  <si>
    <t>ostracismo</t>
  </si>
  <si>
    <t>Movimiento telúrico producido por un molusco bivalvo</t>
  </si>
  <si>
    <t>Aislamiento al que se somete a una persona por alguna causa.</t>
  </si>
  <si>
    <t>trucar</t>
  </si>
  <si>
    <t>Traducción spanglish de auto verdadero</t>
  </si>
  <si>
    <t>Alterar o preparar algo con trampas para que produzca el efecto deseado.</t>
  </si>
  <si>
    <t>salvado</t>
  </si>
  <si>
    <t>Quítate, parte del río por donde se puede cruzar</t>
  </si>
  <si>
    <t>Cáscara del grano de cereal desmenuzado por la molienda.</t>
  </si>
  <si>
    <t>binocular</t>
  </si>
  <si>
    <t>Bebida alcoholica para los ojos</t>
  </si>
  <si>
    <t>Dispositivo óptico que permite el uso de los ojos.</t>
  </si>
  <si>
    <t>terreno</t>
  </si>
  <si>
    <t>Agua caliente con hierbas que arrastra el trineo de Papá Noel</t>
  </si>
  <si>
    <t>Extensión de tierra, generalmente cuando se encuentra delimitado por algo.</t>
  </si>
  <si>
    <t>marsala</t>
  </si>
  <si>
    <t>Lo que hace para que el agua de mar no se vuelva dulce</t>
  </si>
  <si>
    <t>Tipo de vino producido en la región que rodea a la ciudad de Marsala, Italia.</t>
  </si>
  <si>
    <t>receloso</t>
  </si>
  <si>
    <t>Ore el animal grande, peludo y con garras</t>
  </si>
  <si>
    <t>Que muestra o tiene recelo hacia una persona o cosa.</t>
  </si>
  <si>
    <t>literato</t>
  </si>
  <si>
    <t>Sujeto la cama con nudos</t>
  </si>
  <si>
    <t>Persona especialista en literatura o que escribe obras literarias.</t>
  </si>
  <si>
    <t>Economico</t>
  </si>
  <si>
    <t>Ruido que rebota no es mono</t>
  </si>
  <si>
    <t>Ciencia que estudia los recursos, la creación de riqueza y la producción, distribución y consumo de bienes y servicios.</t>
  </si>
  <si>
    <t>Economía</t>
  </si>
  <si>
    <t>Femoral</t>
  </si>
  <si>
    <t>Arteria que tiene una creencia de buen comportamiento</t>
  </si>
  <si>
    <t>Arteria y vena que recorren el muslo.</t>
  </si>
  <si>
    <t>vertedor</t>
  </si>
  <si>
    <t>Traducción combinada de see you puerta</t>
  </si>
  <si>
    <t>Canal por el que se le da salida a las aguas, generalmente servidas.</t>
  </si>
  <si>
    <t>Tabacalera</t>
  </si>
  <si>
    <t>Hueso que se usa para jugar en la cantera</t>
  </si>
  <si>
    <t>Relativo a la actividad del tabaco.</t>
  </si>
  <si>
    <t>examen</t>
  </si>
  <si>
    <t>Ha sido asi sea</t>
  </si>
  <si>
    <t>Prueba que se hace para demostrar la idoneidad o el conocimiento de un sujeto.</t>
  </si>
  <si>
    <t>jirafa</t>
  </si>
  <si>
    <t>Animal que hace rotar una nota musical</t>
  </si>
  <si>
    <t>Mamífero rumiante de cuello largo y esbelto, de pelaje amarillo y manchas oscuras.</t>
  </si>
  <si>
    <t>cofia</t>
  </si>
  <si>
    <t>Acompañado, vende confiando en que le paguen</t>
  </si>
  <si>
    <t>Prenda femenina de vestir que sujeta parcialmente el cabello, generalmente utilizado en uniformes como el de enfermera o camarera.</t>
  </si>
  <si>
    <t>prefecto</t>
  </si>
  <si>
    <t>Causa en función de su consecuencia</t>
  </si>
  <si>
    <t>Ministro que preside o manda en una comunidad eclesiástica.</t>
  </si>
  <si>
    <t>trino</t>
  </si>
  <si>
    <t>Negación triple de los pájaros</t>
  </si>
  <si>
    <t>Cantar de los pájaros.</t>
  </si>
  <si>
    <t>Trinar</t>
  </si>
  <si>
    <t>plasmas</t>
  </si>
  <si>
    <t>Traducción combinada de suma more</t>
  </si>
  <si>
    <t>Parte líquida de la sangre que contiene las células o elementos sólidos de esta.</t>
  </si>
  <si>
    <t>Plasma</t>
  </si>
  <si>
    <t>tesis</t>
  </si>
  <si>
    <t>Bebida que se obtiene al colocar un saquito lleno de afirmaciones en agua hirviendo</t>
  </si>
  <si>
    <t>Opinión o teoría que sostiene alguien.</t>
  </si>
  <si>
    <t>incoloro</t>
  </si>
  <si>
    <t>Introduzco el pájaro verde</t>
  </si>
  <si>
    <t>Sin color.</t>
  </si>
  <si>
    <t>Fervor</t>
  </si>
  <si>
    <t>Creencia en ebullición</t>
  </si>
  <si>
    <t>Devoción. Sentimiento religioso intenso.</t>
  </si>
  <si>
    <t>Barometro</t>
  </si>
  <si>
    <t>Duda entre tomar unas copas o el ferrocarril urbano</t>
  </si>
  <si>
    <t>Instrumento utilizado para determinar la presión atmosférica.</t>
  </si>
  <si>
    <t>barómetro</t>
  </si>
  <si>
    <t>haraposo</t>
  </si>
  <si>
    <t>Cavará</t>
  </si>
  <si>
    <t>Andrajoso. Vestido con harapos.</t>
  </si>
  <si>
    <t>Manera</t>
  </si>
  <si>
    <t>Traducción combinada de hombre was</t>
  </si>
  <si>
    <t>Modo o forma de hacer algo.</t>
  </si>
  <si>
    <t>finge</t>
  </si>
  <si>
    <t>Cuatro posiciones alfabéticas antes que finca</t>
  </si>
  <si>
    <t>Presentar como real algo que no lo es.</t>
  </si>
  <si>
    <t>fingir</t>
  </si>
  <si>
    <t>acrecentar</t>
  </si>
  <si>
    <t>Colocar en una silla a una medida de superficie usada en agricultura</t>
  </si>
  <si>
    <t>Aumentar el tamaño, importancia o cantidad de algo.</t>
  </si>
  <si>
    <t>x</t>
  </si>
  <si>
    <t>Dictamina</t>
  </si>
  <si>
    <t>Dice en voz alta yacimiento de minerales para que otro lo escriba</t>
  </si>
  <si>
    <t>Emitir dictamen sobre algún asunto.</t>
  </si>
  <si>
    <t>dictaminar</t>
  </si>
  <si>
    <t>entropia</t>
  </si>
  <si>
    <t>Yo ingreso, el pollo emite un sonido</t>
  </si>
  <si>
    <t>Desorden, caos.</t>
  </si>
  <si>
    <t>Entropía</t>
  </si>
  <si>
    <t>Testigo</t>
  </si>
  <si>
    <t>Prueba del fruto de la higuera</t>
  </si>
  <si>
    <t>Persona que da testimonio, especialmente en un juicio.</t>
  </si>
  <si>
    <t>sincopa</t>
  </si>
  <si>
    <t>Dícese del árbol que se quedó sin ramas ni hojas en su parte superior.</t>
  </si>
  <si>
    <t>Supresión o pérdida de uno o más sonidos en el interior de una palabra. En música refiere a una contracción rítmica.</t>
  </si>
  <si>
    <t>síncopa</t>
  </si>
  <si>
    <t>cerebelo</t>
  </si>
  <si>
    <t>En el futuro me convertiré en una tela de tul para ocultarme de las miradas</t>
  </si>
  <si>
    <t>Parte posterior del encéfalo que se encarga de la coordinación muscular.</t>
  </si>
  <si>
    <t>medicina</t>
  </si>
  <si>
    <t>Utilicé un centímetro cuando solo estaban las vocales e, i, o, u</t>
  </si>
  <si>
    <t>combinación múltiple</t>
  </si>
  <si>
    <t>Ciencia que estudia las enfermedades que afectan al ser humano, los modos de prevenirlas y las formas de tratamiento para curarlas.</t>
  </si>
  <si>
    <t>espinazo</t>
  </si>
  <si>
    <t>Pongo al asador la púa</t>
  </si>
  <si>
    <t>combinación superpuesta</t>
  </si>
  <si>
    <t>Columna vertebral, especialmente de los animales.</t>
  </si>
  <si>
    <t>canoso</t>
  </si>
  <si>
    <t>Perro con garras y pelo blanco que vive en el bosque.</t>
  </si>
  <si>
    <t>Que tiene canas.</t>
  </si>
  <si>
    <t>Marsopa</t>
  </si>
  <si>
    <t>Plato de caldo con pasta que tiene sal y hace olas</t>
  </si>
  <si>
    <t>alta</t>
  </si>
  <si>
    <t>Mamífero marino parecido al delfín.</t>
  </si>
  <si>
    <t>marsopa</t>
  </si>
  <si>
    <t>acreedor</t>
  </si>
  <si>
    <t>4046 metros cuadrados de mal olor</t>
  </si>
  <si>
    <t>Que tiene derecho a pedir el cumplimiento de alguna obligación o deuda.</t>
  </si>
  <si>
    <t>decanato</t>
  </si>
  <si>
    <t>El que ha sido parido por la k</t>
  </si>
  <si>
    <t>Despacho u oficina del decano.</t>
  </si>
  <si>
    <t>redactor</t>
  </si>
  <si>
    <t>Tejio de mallas que se dedica a la actuación</t>
  </si>
  <si>
    <t>Que se dedica a la redacción.</t>
  </si>
  <si>
    <t>calefactor</t>
  </si>
  <si>
    <t>Atraviese un término de la multiplicación con un objeto punzante</t>
  </si>
  <si>
    <t>Aparato eléctrico de calefacción.</t>
  </si>
  <si>
    <t>fiasco</t>
  </si>
  <si>
    <t>Vende la sensación que le produce el olor de algo muy feo y permite que le paguen más adelante.</t>
  </si>
  <si>
    <t>Decepción, fracaso.</t>
  </si>
  <si>
    <t>zarzas</t>
  </si>
  <si>
    <t>Onomatopeya del golpe del emperador ruso</t>
  </si>
  <si>
    <t>Arbusto espinoso.</t>
  </si>
  <si>
    <t>olfateo</t>
  </si>
  <si>
    <t>El que le lleva una manzana a la maestra no cree en Dios</t>
  </si>
  <si>
    <t>Oler con atención.</t>
  </si>
  <si>
    <t>Olfatear</t>
  </si>
  <si>
    <t>osamenta</t>
  </si>
  <si>
    <t>Pareja del oso con sabor a hierbabuena</t>
  </si>
  <si>
    <t>Esqueleto del hombre y los animales vertebrados.</t>
  </si>
  <si>
    <t>Osamenta</t>
  </si>
  <si>
    <t>criogenia</t>
  </si>
  <si>
    <t>Alimento y cuido a una mujer de talento intelectual extraordinario</t>
  </si>
  <si>
    <t>Generación de temperaturas muy bajas, lo más cercanas posible al cero absoluto.</t>
  </si>
  <si>
    <t>Criogenia</t>
  </si>
  <si>
    <t>soborno</t>
  </si>
  <si>
    <t>Toco repetidamente con las manos el aparato para cocer cosas como pan, ladrillos, cerámica.</t>
  </si>
  <si>
    <t>Dinero u otro bien que se entrega a alguien con el objeto de obtener favores objetables.</t>
  </si>
  <si>
    <t>Soborno</t>
  </si>
  <si>
    <t>malambos</t>
  </si>
  <si>
    <t>Danza que dice que están equivocados los dos.</t>
  </si>
  <si>
    <t>Danza folclórica argentina.</t>
  </si>
  <si>
    <t>malaquita</t>
  </si>
  <si>
    <t>Piedra ornamental y de uso en joyería que solo deja la buena.</t>
  </si>
  <si>
    <t>Piedra semipreciosa.</t>
  </si>
  <si>
    <t>Pone distancia a la tardanza en cumplir con una obligación.</t>
  </si>
  <si>
    <t>Enseñanza que se deduce, generalmente de un cuento o una fábula.</t>
  </si>
  <si>
    <t>aconseja</t>
  </si>
  <si>
    <t>Vocal que tiene pelo sobre los ojos.</t>
  </si>
  <si>
    <t>Decir a una persona lo que puede o debe hacer.</t>
  </si>
  <si>
    <t>aconsejar</t>
  </si>
  <si>
    <t>bermudas</t>
  </si>
  <si>
    <t>Divisar a las que no pueden hablar.</t>
  </si>
  <si>
    <t>Pantalón que cubre hasta la rodilla.</t>
  </si>
  <si>
    <t>cabalga</t>
  </si>
  <si>
    <t>Realiza un pozo en la planta acuática.</t>
  </si>
  <si>
    <t>Montar a caballo.</t>
  </si>
  <si>
    <t>cabalgar</t>
  </si>
  <si>
    <t>Catecismo</t>
  </si>
  <si>
    <t>Pruebe el sabor de la vibración de la superficie terrestre.</t>
  </si>
  <si>
    <t>Libro que contiene la exposición de alguna doctrina, ciencia o arte en forma de preguntas y respuestas.</t>
  </si>
  <si>
    <t>catecismo</t>
  </si>
  <si>
    <t>troquelado</t>
  </si>
  <si>
    <t>Cambié el postre más frío por otra cosa.</t>
  </si>
  <si>
    <t>Recortar piezas de papel.</t>
  </si>
  <si>
    <t>troquelar</t>
  </si>
  <si>
    <t>atajo</t>
  </si>
  <si>
    <t>Anuda la verdura que espanta a Drácula</t>
  </si>
  <si>
    <t>Camino más corto que el principal para ir de un lugar a otro</t>
  </si>
  <si>
    <t>cerrojo</t>
  </si>
  <si>
    <t>Bajó la pestaña</t>
  </si>
  <si>
    <t>Sistema compuesto de una barra de hierro que pasa a través de unas argollas para asegurar el cierre de puertas o ventanas.</t>
  </si>
  <si>
    <t>entramar</t>
  </si>
  <si>
    <t>Ingresa agua salada que rodea los continentes</t>
  </si>
  <si>
    <t>Armazón de metal o madera que sirve para hacer una pared o suelo.</t>
  </si>
  <si>
    <t>entramado</t>
  </si>
  <si>
    <t>fonetico</t>
  </si>
  <si>
    <t>Teléfono inglés que tiene conducta moral</t>
  </si>
  <si>
    <t>Perteneciente al sonido.</t>
  </si>
  <si>
    <t>fonético</t>
  </si>
  <si>
    <t>jamas</t>
  </si>
  <si>
    <t>Risa positiva</t>
  </si>
  <si>
    <t>Nunca.</t>
  </si>
  <si>
    <t>jamás</t>
  </si>
  <si>
    <t>novedad</t>
  </si>
  <si>
    <t>Incapaz de ver el paso de los años</t>
  </si>
  <si>
    <t>Lo que acaba de aparecer, nuevo.</t>
  </si>
  <si>
    <t>separar</t>
  </si>
  <si>
    <t>Conozca la forma de labrar la tierra</t>
  </si>
  <si>
    <t>Establecer distancia o aumentarla entre dos cosas.</t>
  </si>
  <si>
    <t>tiritando</t>
  </si>
  <si>
    <t>Gerundio de hacer pequeñas tiras por el frío</t>
  </si>
  <si>
    <t>Temblar por acción del frío, la fiebre o el miedo.</t>
  </si>
  <si>
    <t>tiritar</t>
  </si>
  <si>
    <t>aceite</t>
  </si>
  <si>
    <t>Lista de tres letras que forman un líquido graso</t>
  </si>
  <si>
    <t>Sustancia líquida grasa de origen animal, vegetal o mineral, insoluble en agua.</t>
  </si>
  <si>
    <t>desastre</t>
  </si>
  <si>
    <t>Consonante que confecciona ropa a medida</t>
  </si>
  <si>
    <t>Suceso que produce mucha destrucción.</t>
  </si>
  <si>
    <t>dogma</t>
  </si>
  <si>
    <t>Perra inglesa que lo parió</t>
  </si>
  <si>
    <t>Punto esencial de una religión, una doctrina o un sistema de pensamiento que se tiene por cierto y que no puede ponerse en duda dentro de su sistema.</t>
  </si>
  <si>
    <t>asesinada</t>
  </si>
  <si>
    <t>Conjunción de unos y ninguna otra cosa</t>
  </si>
  <si>
    <t>Matar a otra persona con premeditación.</t>
  </si>
  <si>
    <t>asesinar</t>
  </si>
  <si>
    <t>mentiras</t>
  </si>
  <si>
    <t>Arrojas hombres ingleses</t>
  </si>
  <si>
    <t>Afirmación que se hace a sabiendas de que no es verdad.</t>
  </si>
  <si>
    <t>mentira</t>
  </si>
  <si>
    <t>anden</t>
  </si>
  <si>
    <t>Traducción caprichosa al ingles de: y entonces</t>
  </si>
  <si>
    <t>Plataforma elevada a los costados de la vía del ferrocarril o subterraneo para facilitar el acceso de los pasajeros.</t>
  </si>
  <si>
    <t>papeles</t>
  </si>
  <si>
    <t>Quites la cáscara al progenitor</t>
  </si>
  <si>
    <t>Lámina fina hecha con pasta de fibras vegetales u otros materiales molidos y mezclados con agua, secados y endurecidos, que se utiliza por ejemplo para escribir, y dibujar.</t>
  </si>
  <si>
    <t>papel</t>
  </si>
  <si>
    <t>mancilla</t>
  </si>
  <si>
    <t>Señor inglés con cuatro patas y respaldo</t>
  </si>
  <si>
    <t>Causar perjuicio en la honra o el honor de una persona o familia.</t>
  </si>
  <si>
    <t>mancillar</t>
  </si>
  <si>
    <t>mentalista</t>
  </si>
  <si>
    <t>Enumeración de planta aromática</t>
  </si>
  <si>
    <t>Persona que practica el mentalismo, una rama del ilusionismo.</t>
  </si>
  <si>
    <t>cedamos</t>
  </si>
  <si>
    <t>Entregamos ganas de tomar agua</t>
  </si>
  <si>
    <t>Dar algo voluntariamente a otro.</t>
  </si>
  <si>
    <t>ceder</t>
  </si>
  <si>
    <t>botamanga</t>
  </si>
  <si>
    <t>Calzado alto que cubre los brazos</t>
  </si>
  <si>
    <t>Plieque que se hace en la parte inferior de un pantalón.</t>
  </si>
  <si>
    <t>renovar</t>
  </si>
  <si>
    <t>Lugar donde paran a tomar un trago los que tiran del trineo de Papá Noel</t>
  </si>
  <si>
    <t>Hacer que una cosa adquiera un aspecto similar a nuevo.</t>
  </si>
  <si>
    <t>añora</t>
  </si>
  <si>
    <t>365 días en sesenta minutos</t>
  </si>
  <si>
    <t>Recordar con pena a alguien o algo ausente.</t>
  </si>
  <si>
    <t>añorar</t>
  </si>
  <si>
    <t>agotable</t>
  </si>
  <si>
    <t>Diga palabras a una porción pequeña de agua de forma más o menos esférica</t>
  </si>
  <si>
    <t>Gastar del todo, acabar algo.</t>
  </si>
  <si>
    <t>Agotar</t>
  </si>
  <si>
    <t>aludia</t>
  </si>
  <si>
    <t>caída estrepitosa de nieve que dura 24 horas</t>
  </si>
  <si>
    <t>Referirse a cosas o personas sin nombrarlas.</t>
  </si>
  <si>
    <t>Aludir</t>
  </si>
  <si>
    <t>Amaestrado</t>
  </si>
  <si>
    <t>Lo que siente quien está enamorado del púlpito</t>
  </si>
  <si>
    <t>Dominar a un animal o una persona para que reciba órdenes.</t>
  </si>
  <si>
    <t>Amaestrar</t>
  </si>
  <si>
    <t>Recorte un componente de la multiplicación</t>
  </si>
  <si>
    <t>Que calienta o hace subir la temperatura.</t>
  </si>
  <si>
    <t>Calefactor</t>
  </si>
  <si>
    <t>contrabajo</t>
  </si>
  <si>
    <t>Instrumento musical que no está desempleado</t>
  </si>
  <si>
    <t>Instrumento musical de cuerda de forma semejante a la del violín pero mucho mayor.</t>
  </si>
  <si>
    <t>Contrabajo</t>
  </si>
  <si>
    <t>farola</t>
  </si>
  <si>
    <t>Traducción inversa de Lejana wave</t>
  </si>
  <si>
    <t>Farol grande que se coloca en un lugar alto para iluminar calles o carreteras.</t>
  </si>
  <si>
    <t>Farola</t>
  </si>
  <si>
    <t>Gelatina</t>
  </si>
  <si>
    <t>Da en el blanco la materia gelatinosa</t>
  </si>
  <si>
    <t>Sustancia sólida, transparente e incolora, que se obtiene cociendo en agua huesos, tendones y ligamentos de animales</t>
  </si>
  <si>
    <t>japon</t>
  </si>
  <si>
    <t>País que pide colocar la interjección de risa</t>
  </si>
  <si>
    <t>País del este de Asia.</t>
  </si>
  <si>
    <t>Japón</t>
  </si>
  <si>
    <t>velamen</t>
  </si>
  <si>
    <t>Asi sea que permanece despierto toda la noche</t>
  </si>
  <si>
    <t>Conjunto de velas de una embarcación.</t>
  </si>
  <si>
    <t>Velamen</t>
  </si>
  <si>
    <t>Amargas</t>
  </si>
  <si>
    <t>Querer mucho a la materia que no tiene forma ni volumen propio</t>
  </si>
  <si>
    <t>Suele utilizarse cuando un sabor resulta desagradable.</t>
  </si>
  <si>
    <t>Amarga</t>
  </si>
  <si>
    <t>astrolabio</t>
  </si>
  <si>
    <t>Cuerpo celeste que forma parte de la boca</t>
  </si>
  <si>
    <t>Instrumento de navegación utilizado para orientarse.</t>
  </si>
  <si>
    <t>karaoke</t>
  </si>
  <si>
    <t>Face or what</t>
  </si>
  <si>
    <t>Dispositivo audiovisual que reproduce el fondo musical y las letras escritas de una serie de canciones para que sean cantadas por una o varias personas como forma de entretenimiento.</t>
  </si>
  <si>
    <t>avestruz</t>
  </si>
  <si>
    <t>Pájaros de la verdad inglesa</t>
  </si>
  <si>
    <t>El avestruz es una especie de ave estrutioniforme de la familia Struthionidae.Esta no te la sabías.</t>
  </si>
  <si>
    <t>Cacique</t>
  </si>
  <si>
    <t>Indio que no llega a ser que.</t>
  </si>
  <si>
    <t>Jefe de algunas tribus de indios.</t>
  </si>
  <si>
    <t>cacique</t>
  </si>
  <si>
    <t>Medano</t>
  </si>
  <si>
    <t>Me entrega negación</t>
  </si>
  <si>
    <t>Montón de arena.</t>
  </si>
  <si>
    <t>médano</t>
  </si>
  <si>
    <t>parodia</t>
  </si>
  <si>
    <t>Siente rabia por el no non</t>
  </si>
  <si>
    <t>Obra satírica que imita humorísticamente a otra.</t>
  </si>
  <si>
    <t>habano</t>
  </si>
  <si>
    <t>Versión negativa de una planta trepadora herbácea</t>
  </si>
  <si>
    <t>Cigarro elaborado en Cuba.</t>
  </si>
  <si>
    <t>parmesana</t>
  </si>
  <si>
    <t>Duo cura mi enfermedad</t>
  </si>
  <si>
    <t>Relativo a Parma, ciudad del norte de Italia.</t>
  </si>
  <si>
    <t>músculo</t>
  </si>
  <si>
    <t>panqueque</t>
  </si>
  <si>
    <t>Doble pregunta a la masa de agua y harina cocida al horno</t>
  </si>
  <si>
    <t>Torta muy delgada y blanda, elaborada con harina, leche, huevos, mantequilla y azúcar.</t>
  </si>
  <si>
    <t>peloteo</t>
  </si>
  <si>
    <t>Quito todo el pelo a Dios</t>
  </si>
  <si>
    <t>Intercambio de pases de pelota.</t>
  </si>
  <si>
    <t>eterno</t>
  </si>
  <si>
    <t>Negación del fluido hipotético invisible, sin peso y elástico, que se consideraba que llenaba todo el espacio.</t>
  </si>
  <si>
    <t>Que no puede ser medido por el tiempo, sin principio ni final.</t>
  </si>
  <si>
    <t>debate</t>
  </si>
  <si>
    <t>Agita rápidamente una consonante</t>
  </si>
  <si>
    <t>Discusión en la que dos o más personas opinan acerca de uno o varios temas.</t>
  </si>
  <si>
    <t>asesinatos</t>
  </si>
  <si>
    <t>Conjunción de unos y nacidos</t>
  </si>
  <si>
    <t>Matar a una persona con premeditación u otra circunstancia agravante.</t>
  </si>
  <si>
    <t>ventanilla</t>
  </si>
  <si>
    <t>Sujeta con aros la sesión de algo a cambio de dinero</t>
  </si>
  <si>
    <t>Ventana pequeña.</t>
  </si>
  <si>
    <t>solapar</t>
  </si>
  <si>
    <t>Sin compañía divisible por dos</t>
  </si>
  <si>
    <t>Colocar o encimar una cosa sobre otra cubriéndola parcialmente.</t>
  </si>
  <si>
    <t>mujeriego</t>
  </si>
  <si>
    <t>Persona de sexo femenino y el Yo de Freud</t>
  </si>
  <si>
    <t>Hombre que es muy aficionado a relacionarse con mujeres, para conquistarlas o seducirlas.</t>
  </si>
  <si>
    <t>musculo</t>
  </si>
  <si>
    <t>Postre cremoso de las nalgas</t>
  </si>
  <si>
    <t>Órgano o masa de tejido compuesto de fibras que, mediante la contracción y la relajación, sirve para producir el movimiento en el hombre y los animales.</t>
  </si>
  <si>
    <t>negociantes</t>
  </si>
  <si>
    <t>Anteriormente dijo que no al si</t>
  </si>
  <si>
    <t>Persona que se dedica a negociar o comerciar.</t>
  </si>
  <si>
    <t>novedosa</t>
  </si>
  <si>
    <t>El que tiene como límite ver una A</t>
  </si>
  <si>
    <t>Que implica novedad, que es nuevo.</t>
  </si>
  <si>
    <t>limonada</t>
  </si>
  <si>
    <t>Pulo ninguna cosa</t>
  </si>
  <si>
    <t>Bebida compuesta de agua, azucar y jugo de limón.</t>
  </si>
  <si>
    <t>conclave</t>
  </si>
  <si>
    <t>Dícese de lo que tiene contraseña</t>
  </si>
  <si>
    <t>Junta de los cardenales de la Iglesia católica, reunida para elegir papa.</t>
  </si>
  <si>
    <t>cónclave</t>
  </si>
  <si>
    <t>lucero</t>
  </si>
  <si>
    <t>Lo que ilumina antes del primer número natural</t>
  </si>
  <si>
    <t>Astro de los que parecen más grandes y brillantes.</t>
  </si>
  <si>
    <t>remedios</t>
  </si>
  <si>
    <t>Haga mover al todopoderoso con un remo</t>
  </si>
  <si>
    <t>Recurso, auxilio o refugio. Lo que se utiliza para producir una mejora en las enfermedades.</t>
  </si>
  <si>
    <t>remedio</t>
  </si>
  <si>
    <t>cortesano</t>
  </si>
  <si>
    <t>Divida en dos partes lo que no está enfermo</t>
  </si>
  <si>
    <t>Perteneciente o relativo a la corte.</t>
  </si>
  <si>
    <t>estoicismo</t>
  </si>
  <si>
    <t>Me encuentro en estado de movimiento telúrico</t>
  </si>
  <si>
    <t>Dificil</t>
  </si>
  <si>
    <t>Fortaleza o dominio sobre la propia sensibilidad. Escuela fundada por Zenón en Atenas.</t>
  </si>
  <si>
    <t>ID</t>
  </si>
  <si>
    <t>Palabra</t>
  </si>
  <si>
    <t>Descripción</t>
  </si>
  <si>
    <t>Paridos</t>
  </si>
  <si>
    <t>Dos retirados</t>
  </si>
  <si>
    <t>Largo</t>
  </si>
  <si>
    <t>Dia sem</t>
  </si>
  <si>
    <t>Tweet</t>
  </si>
  <si>
    <t>con tilde</t>
  </si>
  <si>
    <t>desorden</t>
  </si>
  <si>
    <t>fecha programación</t>
  </si>
  <si>
    <t>programado</t>
  </si>
  <si>
    <t>si</t>
  </si>
  <si>
    <t>Si</t>
  </si>
  <si>
    <t xml:space="preserve">Tu mate te está funcionando muy bien, _ </t>
  </si>
  <si>
    <t xml:space="preserve">Tienes el cerebro frito con aceite de lubricar motores, _  </t>
  </si>
  <si>
    <t xml:space="preserve">Caramba que vas muy bien. Apostaría que ya puedas descubrir la traducción combinada de TheySmokeDos, _  </t>
  </si>
  <si>
    <t xml:space="preserve">Tu capacidad de resolución se está volviendo infinita, _ </t>
  </si>
  <si>
    <t xml:space="preserve">Impresionante lo que has logrado este último tiempo, _ </t>
  </si>
  <si>
    <t xml:space="preserve">Tus neuronas están decididas a abandonar el blanco y negro, _ </t>
  </si>
  <si>
    <t xml:space="preserve">Matete está provocando una migración masiva de neuronas. La lógica convencional ya no tiene espacio en tu cerebro, _ </t>
  </si>
  <si>
    <t xml:space="preserve">Santos Matetes Batman, este jugador podría ayudarnos a derrotar al Acertijo, _ </t>
  </si>
  <si>
    <t xml:space="preserve">El ejercicio mental te rejuvenece. Cada matete resuelto te hace ver 39 segundos más joven., _ </t>
  </si>
  <si>
    <t xml:space="preserve">Deberían nominarte para el premio intergaláctico de Matetes. Si existiera, claro., _ </t>
  </si>
  <si>
    <t xml:space="preserve">Resolviste hábilmente este Matete, pero tengo que advertirte que el próximo produce insomnio., _ </t>
  </si>
  <si>
    <t xml:space="preserve">Si pudiste resolver este Matete, el problemita que te está dando vueltas en la cabeza es pan comido., _ </t>
  </si>
  <si>
    <t xml:space="preserve">Otro Matete resuelto es otro pequeño puente entre tus hemisferios cerebrales., _ </t>
  </si>
  <si>
    <t xml:space="preserve">A la pipetuá! Deberían inventar un superheroe en tu nombre, algo así como Supermantete., _ </t>
  </si>
  <si>
    <t xml:space="preserve">A esta altura del juego es posible que te descubras analizando tooodas las palabras buscando Matetes. El diagnóstico es Matetitis., _ </t>
  </si>
  <si>
    <t xml:space="preserve">Acertaste y te ganaste un consejo: No pidas peras al olmo. Son mucho más ricas al borgoña., _ </t>
  </si>
  <si>
    <t>Acertaste. &amp;caracter(10)&amp; "Tus engranajes se van aflojando", _</t>
  </si>
  <si>
    <t>Bien. &amp;caracter(10)&amp; "Ya estás con un pié fuera de la caja" , _</t>
  </si>
  <si>
    <t>Superluper. &amp;caracter(10)&amp; "Vas quitando herrumbre a tus neuronas", _</t>
  </si>
  <si>
    <t>La pucha.&amp;caracter(10)&amp; "Eres una barbaridad", _</t>
  </si>
  <si>
    <t>Tremendo.&amp;caracter(10)&amp; "Aunque ésta era fácil, pero la próxima te saca una cana", _</t>
  </si>
  <si>
    <t>Revolución.&amp;caracter(10)&amp; "Tus neuronas están como locas" , _</t>
  </si>
  <si>
    <t xml:space="preserve">Eres suertudo&amp;caracter(10)&amp; "o tu pensamiento lateral está muy desarrollado", _ </t>
  </si>
  <si>
    <t xml:space="preserve">Patapufete.&amp;caracter(10)&amp; "Si sigues adivinando se nos van a acabar las palabras", _   </t>
  </si>
  <si>
    <t xml:space="preserve">Sambomba.&amp;caracter(10)&amp; "Se ha generado un nuevo circuito en tu cerebro", _ </t>
  </si>
  <si>
    <t xml:space="preserve">Sorprendente.&amp;caracter(10)&amp; "Tienes una gran capacidad de abandonar la lógica. Tu pareja tiene razón", _ </t>
  </si>
  <si>
    <t xml:space="preserve">Te luciste.&amp;caracter(10)&amp; "Estás cerca de graduarte en pensamiento divergente", _ </t>
  </si>
  <si>
    <t xml:space="preserve">Caracoles.&amp;caracter(10)&amp; "Se nota que has practicado en el viaje", _ </t>
  </si>
  <si>
    <t xml:space="preserve">Cáspitas.&amp;caracter(10)&amp; "Tu cociente intelectual debería llamarse multiplicador intelectual", _   </t>
  </si>
  <si>
    <t xml:space="preserve">Impactante.&amp;caracter(10)&amp; "Debes tener un procesador de cuatro núcleos", _ </t>
  </si>
  <si>
    <t xml:space="preserve">Chanfle.&amp;caracter(10)&amp; "Ya te mereces tu propia estatua del pensador", _   </t>
  </si>
  <si>
    <t xml:space="preserve">Excelente.&amp;caracter(10)&amp; "Te ganaste un premio Eric de aplausos y campanadas"&amp;caracter(10)&amp; "Clap ton Clap ton", _  </t>
  </si>
  <si>
    <t xml:space="preserve">Yuuujuuu.&amp;caracter(10)&amp; "Eres el primero en acertar esta palabra a esta hora en este lugar."&amp;caracter(10)&amp; "Y con esas medias!", _ </t>
  </si>
  <si>
    <t xml:space="preserve">Boing boing.&amp;caracter(10)&amp; "Tus neuronas están dando saltos increíbles", _  </t>
  </si>
  <si>
    <t xml:space="preserve">Cáspitas.&amp;caracter(10)&amp; "Eso fue muy rápido. Espero que estés jugando limpio. Sino ve a asearte", _   </t>
  </si>
  <si>
    <t xml:space="preserve">Soberbio.&amp;caracter(10)&amp; "El pitecantropus estaría impresionado con tu evolución", _ </t>
  </si>
  <si>
    <t xml:space="preserve">Lativa te queda chica.&amp;caracter(10)&amp; "Tu performance es superlativa", _ </t>
  </si>
  <si>
    <t xml:space="preserve">Fantástico.&amp;caracter(10)&amp; "Ya se debe estar gestando tu propio club de fans", _ </t>
  </si>
  <si>
    <t xml:space="preserve">Fenómeno.&amp;caracter(10)&amp; "Evidentemente tienes un ecosistema cerebral hiper desarrollado", _ </t>
  </si>
  <si>
    <t xml:space="preserve">Recórcholis.&amp;caracter(10)&amp; "En cualquier momento empiezas a inventar tus propios matetes", _ </t>
  </si>
  <si>
    <t xml:space="preserve">Piedra libre.&amp;caracter(10)&amp; "El orden ayuda a encontrar y el caos a descubrir."&amp;caracter(10)&amp; "Si, si, te ha ayudado el caos", _ </t>
  </si>
  <si>
    <t xml:space="preserve">Te mereces un anterior a lo que me pertenece.&amp;caracter(10)&amp; "Claro Claro: Un premio", _ </t>
  </si>
  <si>
    <t xml:space="preserve">Patapufete.&amp;caracter(10)&amp; "Tu tienes habilidad para salir de la caja pero por favor cierra la tapa para que no se escapen otros", _ </t>
  </si>
  <si>
    <t xml:space="preserve">Caramba.&amp;caracter(10)&amp; "Tus habilidades matetísticas dejan paticonfuso a cualquiera", _ </t>
  </si>
  <si>
    <t xml:space="preserve">Zás!&amp; caracter(10) &amp;"Matete está reconfigurando tus neuronas", _ </t>
  </si>
  <si>
    <t xml:space="preserve">Upalalá&amp; caracter(10) &amp;"La parte colorida de tu cerebro parece un arcoiris", _ </t>
  </si>
  <si>
    <t>Carambolas &amp; caracter(10)&amp; "Resuelves muy bien los Matetes, podrías dedicarte a...." &amp; caracter(10) &amp; "Lo siento, es una habilidad completamente inútil", _</t>
  </si>
  <si>
    <t>Con tanto Matete ¿te parece que empiezas a sentir el movimiento de tus neuronas? &amp; caracter(10) &amp; "Es extraño. Posiblemente tengas piojos", _</t>
  </si>
  <si>
    <t xml:space="preserve">Santos tragos barman! &amp; caracter(10) &amp; "A algunas personas Matete les hace crecer tanto las neuronas que le empujan el pelo hacia afuera y las confunden con el tío cosa.", _ </t>
  </si>
  <si>
    <t xml:space="preserve">Esferas de Caram! &amp; caracter(10) &amp; "Logras sorprenderme con tus habilidades." &amp; caracter(10) &amp; " Bah, no es cierto, pero te quería levantar el ánimo.", _ </t>
  </si>
  <si>
    <t>A la little ball. &amp; caracter(10) &amp; "Hubiera jurado que esta la salteabas, me monja-encendiste." , _</t>
  </si>
  <si>
    <t xml:space="preserve">Uii Uii.&amp; caracter(10) &amp;"Estás haciendo rechinar la estantería de tu pensamiento lógico.", _ </t>
  </si>
  <si>
    <t>Cataplún!  &amp; caracter(10) &amp; "Lógica lógica derrumbada. Bienvenida lógica ilógica.")</t>
  </si>
  <si>
    <t>Adivinala y aumentá tu nivel de divergencia!</t>
  </si>
  <si>
    <t>Este Matete es aceite para los engranajes de tu cerebro</t>
  </si>
  <si>
    <t>Con este Matete ya estás con un pie fuera de la caja</t>
  </si>
  <si>
    <t>Superluper! Quitale herrumbre a tus neuronas con este #Matete</t>
  </si>
  <si>
    <t>La pucha, este Matete es de los dificils</t>
  </si>
  <si>
    <t>Este es fácil, pero el próximo te saca una cana</t>
  </si>
  <si>
    <t>Pensar este Matete desata una revolución neuronal sin precedentes</t>
  </si>
  <si>
    <t>Afila tu pensamiento lateral con este #Matete</t>
  </si>
  <si>
    <t>Matete hace funcionar tu mate</t>
  </si>
  <si>
    <t>Ya tienes el cerebro frito con aceite de lubricar motores</t>
  </si>
  <si>
    <t>Patapúfete con este #Matete</t>
  </si>
  <si>
    <t>Este #Matete genera un nuevo circuito en tu cerebro</t>
  </si>
  <si>
    <t>Antención neuronas, a despertar que llegó un nuevo #Matete</t>
  </si>
  <si>
    <t>Si aciertas este #Matete, esta traducción es una papa: TheySmokeDos</t>
  </si>
  <si>
    <t>Tus amigos tienen razón, tienes una forma extraña de pensar</t>
  </si>
  <si>
    <t>Con este #Matete te gradúas en pensamiento lateral avanzado</t>
  </si>
  <si>
    <t>Caracoles Batman, este #Matete es muy dificil</t>
  </si>
  <si>
    <t>Cuando aciertes este #Matete tendrás multiplicador intelectual en lugar de cociente</t>
  </si>
  <si>
    <t>#Matete para cerebros con muchos procesadores</t>
  </si>
  <si>
    <t>Chanfle, si aciertas este #Matete te mereces tu propia estatua del pensador</t>
  </si>
  <si>
    <t>Mensaje</t>
  </si>
  <si>
    <t>Largo Tweet</t>
  </si>
  <si>
    <t>Nombre propio femenino que da sanidad a su propio apócope</t>
  </si>
  <si>
    <t>Este #Matete es aceite para los engranajes de tu cerebro</t>
  </si>
  <si>
    <t>Con este #Matete ya estás con un pie fuera de la caja</t>
  </si>
  <si>
    <t>Adivina el #Matete 148 y aumenta tu nivel de divergencia cerebral</t>
  </si>
  <si>
    <t>Usado</t>
  </si>
  <si>
    <t>Este #Matete tiene un premio Eric de aplausos y campanadas: Clap ton Clap ton</t>
  </si>
  <si>
    <t>Si lo adivinas, te ganas un premio Eric de aplausos y campanadas: Clap ton Clap ton</t>
  </si>
  <si>
    <t>No</t>
  </si>
  <si>
    <t>No va</t>
  </si>
  <si>
    <t>La mejor manera de festejar si adivinas este Matete es ponerte una media de cada color</t>
  </si>
  <si>
    <t>A despertar neuronas, que llegó el matete Nro</t>
  </si>
  <si>
    <t>A despertar neuronas, que llegó el #Matete Nro</t>
  </si>
  <si>
    <t xml:space="preserve">Superluper! Quitale herrumbre a tus neuronas con el Matete Nro </t>
  </si>
  <si>
    <t>La pucha, este Matete es de los dificiles</t>
  </si>
  <si>
    <t xml:space="preserve">Por el cumple de la Pi, hoy va el #Matete Nro </t>
  </si>
  <si>
    <t>Abandoné la vida como un oso hembra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</si>
</sst>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MS Shell Dlg 2"/>
    </font>
    <font>
      <sz val="10"/>
      <color rgb="FF000000"/>
      <name val="Arial Unicode MS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0" fillId="0" borderId="0" xfId="0" applyNumberFormat="1"/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right" vertical="center" wrapText="1"/>
    </xf>
    <xf numFmtId="1" fontId="0" fillId="0" borderId="0" xfId="0" applyNumberFormat="1"/>
    <xf numFmtId="0" fontId="2" fillId="2" borderId="1" xfId="0" applyFont="1" applyFill="1" applyBorder="1" applyAlignment="1">
      <alignment horizontal="left" vertical="center"/>
    </xf>
    <xf numFmtId="1" fontId="0" fillId="3" borderId="0" xfId="0" applyNumberFormat="1" applyFill="1"/>
    <xf numFmtId="0" fontId="0" fillId="3" borderId="0" xfId="0" applyFill="1"/>
    <xf numFmtId="1" fontId="3" fillId="3" borderId="0" xfId="0" applyNumberFormat="1" applyFont="1" applyFill="1"/>
    <xf numFmtId="0" fontId="3" fillId="3" borderId="0" xfId="0" applyFont="1" applyFill="1"/>
    <xf numFmtId="0" fontId="1" fillId="3" borderId="1" xfId="0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left" vertical="center" wrapText="1"/>
    </xf>
    <xf numFmtId="1" fontId="1" fillId="3" borderId="1" xfId="0" applyNumberFormat="1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1" fontId="1" fillId="3" borderId="0" xfId="0" applyNumberFormat="1" applyFont="1" applyFill="1" applyBorder="1" applyAlignment="1">
      <alignment horizontal="left" vertical="center" wrapText="1"/>
    </xf>
    <xf numFmtId="1" fontId="3" fillId="3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E09E-7B70-4761-9988-E2A9D911E895}">
  <sheetPr filterMode="1"/>
  <dimension ref="A1:U952"/>
  <sheetViews>
    <sheetView tabSelected="1" topLeftCell="E1" workbookViewId="0">
      <pane ySplit="1" topLeftCell="A47" activePane="bottomLeft" state="frozen"/>
      <selection pane="bottomLeft" activeCell="K60" sqref="K60"/>
    </sheetView>
  </sheetViews>
  <sheetFormatPr baseColWidth="10" defaultRowHeight="15" x14ac:dyDescent="0.25"/>
  <cols>
    <col min="2" max="2" width="17.85546875" style="9" bestFit="1" customWidth="1"/>
    <col min="3" max="3" width="23.7109375" style="8" bestFit="1" customWidth="1"/>
    <col min="4" max="4" width="26.85546875" style="8" customWidth="1"/>
    <col min="5" max="5" width="26.85546875" style="20" customWidth="1"/>
    <col min="6" max="6" width="26.85546875" style="8" customWidth="1"/>
    <col min="7" max="7" width="11.85546875" style="6" bestFit="1" customWidth="1"/>
    <col min="11" max="11" width="23.7109375" customWidth="1"/>
    <col min="12" max="12" width="5.7109375" bestFit="1" customWidth="1"/>
    <col min="19" max="19" width="40.7109375" customWidth="1"/>
  </cols>
  <sheetData>
    <row r="1" spans="1:21" s="11" customFormat="1" x14ac:dyDescent="0.25">
      <c r="A1" s="11" t="s">
        <v>1722</v>
      </c>
      <c r="B1" s="11" t="s">
        <v>1721</v>
      </c>
      <c r="C1" s="10" t="s">
        <v>1717</v>
      </c>
      <c r="D1" s="10" t="s">
        <v>1718</v>
      </c>
      <c r="E1" s="18" t="s">
        <v>1798</v>
      </c>
      <c r="F1" s="10" t="s">
        <v>1799</v>
      </c>
      <c r="G1" s="10" t="s">
        <v>1720</v>
      </c>
      <c r="H1" s="11" t="s">
        <v>1711</v>
      </c>
      <c r="I1" s="11" t="s">
        <v>1712</v>
      </c>
      <c r="J1" s="11" t="s">
        <v>1719</v>
      </c>
      <c r="K1" s="11" t="s">
        <v>1713</v>
      </c>
      <c r="L1" s="11" t="s">
        <v>1716</v>
      </c>
    </row>
    <row r="2" spans="1:21" ht="97.5" hidden="1" customHeight="1" x14ac:dyDescent="0.25">
      <c r="A2" t="s">
        <v>1724</v>
      </c>
      <c r="B2" s="15">
        <v>44996</v>
      </c>
      <c r="C2" s="13">
        <f t="shared" ref="C2:C7" si="0">IF(B2&lt;&gt;"",WEEKDAY(B2),"x")</f>
        <v>7</v>
      </c>
      <c r="D2" s="14" t="str">
        <f t="shared" ref="D2:D7" si="1">"#Matete Nro "&amp;H2&amp;CHAR(10)&amp;K2&amp;CHAR(10)&amp;L2&amp;" letras"&amp;CHAR(10)&amp;CHAR(10)&amp;"#MateteDivergente"</f>
        <v>#Matete Nro 337
Letra D quebrada
7 letras
#MateteDivergente</v>
      </c>
      <c r="E2" s="17"/>
      <c r="F2" s="17"/>
      <c r="G2" s="6">
        <v>218</v>
      </c>
      <c r="H2" s="1">
        <v>337</v>
      </c>
      <c r="I2" s="2" t="s">
        <v>1110</v>
      </c>
      <c r="J2" s="2" t="s">
        <v>1113</v>
      </c>
      <c r="K2" s="2" t="s">
        <v>1111</v>
      </c>
      <c r="L2" s="2">
        <f t="shared" ref="L2:L65" si="2">LEN(I2)</f>
        <v>7</v>
      </c>
      <c r="M2" s="2"/>
      <c r="N2" s="2" t="s">
        <v>3</v>
      </c>
      <c r="O2" s="1">
        <v>28</v>
      </c>
      <c r="P2" s="2"/>
      <c r="Q2" s="2"/>
      <c r="R2" s="2"/>
      <c r="S2" s="2" t="s">
        <v>1112</v>
      </c>
      <c r="U2" s="2" t="s">
        <v>740</v>
      </c>
    </row>
    <row r="3" spans="1:21" ht="76.5" hidden="1" x14ac:dyDescent="0.25">
      <c r="A3" t="s">
        <v>1724</v>
      </c>
      <c r="B3" s="15">
        <f>+B2+3</f>
        <v>44999</v>
      </c>
      <c r="C3" s="13">
        <f t="shared" si="0"/>
        <v>3</v>
      </c>
      <c r="D3" s="14" t="str">
        <f t="shared" si="1"/>
        <v>#Matete Nro 177
Profundo se desplaza sobre el agua
9 letras
#MateteDivergente</v>
      </c>
      <c r="E3" s="17"/>
      <c r="F3" s="17"/>
      <c r="G3" s="6">
        <v>6315</v>
      </c>
      <c r="H3" s="1">
        <v>177</v>
      </c>
      <c r="I3" s="2" t="s">
        <v>609</v>
      </c>
      <c r="J3" s="2" t="s">
        <v>609</v>
      </c>
      <c r="K3" s="2" t="s">
        <v>610</v>
      </c>
      <c r="L3" s="2">
        <f t="shared" si="2"/>
        <v>9</v>
      </c>
      <c r="M3" s="2"/>
      <c r="N3" s="2" t="s">
        <v>3</v>
      </c>
      <c r="O3" s="1">
        <v>15</v>
      </c>
      <c r="P3" s="2"/>
      <c r="Q3" s="2"/>
      <c r="R3" s="2"/>
      <c r="S3" s="2" t="s">
        <v>611</v>
      </c>
      <c r="U3" s="2" t="s">
        <v>7</v>
      </c>
    </row>
    <row r="4" spans="1:21" ht="63.75" hidden="1" x14ac:dyDescent="0.25">
      <c r="A4" t="s">
        <v>1724</v>
      </c>
      <c r="B4" s="15">
        <f>+B3+3</f>
        <v>45002</v>
      </c>
      <c r="C4" s="13">
        <f t="shared" si="0"/>
        <v>6</v>
      </c>
      <c r="D4" s="14" t="str">
        <f t="shared" si="1"/>
        <v>#Matete Nro 333
Sepulcro anterior al tres
8 letras
#MateteDivergente</v>
      </c>
      <c r="E4" s="17"/>
      <c r="F4" s="17"/>
      <c r="G4" s="6">
        <v>6548</v>
      </c>
      <c r="H4" s="1">
        <v>333</v>
      </c>
      <c r="I4" s="2" t="s">
        <v>1099</v>
      </c>
      <c r="J4" s="2" t="s">
        <v>1102</v>
      </c>
      <c r="K4" s="2" t="s">
        <v>1100</v>
      </c>
      <c r="L4" s="2">
        <f t="shared" si="2"/>
        <v>8</v>
      </c>
      <c r="M4" s="2"/>
      <c r="N4" s="2" t="s">
        <v>3</v>
      </c>
      <c r="O4" s="1">
        <v>27</v>
      </c>
      <c r="P4" s="2"/>
      <c r="Q4" s="2"/>
      <c r="R4" s="2"/>
      <c r="S4" s="2" t="s">
        <v>1101</v>
      </c>
      <c r="U4" s="2" t="s">
        <v>740</v>
      </c>
    </row>
    <row r="5" spans="1:21" ht="76.5" hidden="1" x14ac:dyDescent="0.25">
      <c r="A5" t="s">
        <v>1724</v>
      </c>
      <c r="B5" s="15">
        <v>44992</v>
      </c>
      <c r="C5" s="13">
        <f t="shared" si="0"/>
        <v>3</v>
      </c>
      <c r="D5" s="14" t="str">
        <f t="shared" si="1"/>
        <v>#Matete Nro 1
Metal precioso negador con cáscara
7 letras
#MateteDivergente</v>
      </c>
      <c r="E5" s="17"/>
      <c r="F5" s="17"/>
      <c r="G5" s="6">
        <v>7298</v>
      </c>
      <c r="H5" s="1">
        <v>1</v>
      </c>
      <c r="I5" s="2" t="s">
        <v>0</v>
      </c>
      <c r="J5" s="2" t="s">
        <v>6</v>
      </c>
      <c r="K5" s="2" t="s">
        <v>1</v>
      </c>
      <c r="L5" s="2">
        <f t="shared" si="2"/>
        <v>7</v>
      </c>
      <c r="M5" s="2" t="s">
        <v>2</v>
      </c>
      <c r="N5" s="2" t="s">
        <v>3</v>
      </c>
      <c r="O5" s="1">
        <v>1</v>
      </c>
      <c r="P5" s="2" t="s">
        <v>4</v>
      </c>
      <c r="Q5" s="2"/>
      <c r="R5" s="2"/>
      <c r="S5" s="2" t="s">
        <v>5</v>
      </c>
      <c r="U5" s="2" t="s">
        <v>7</v>
      </c>
    </row>
    <row r="6" spans="1:21" ht="76.5" hidden="1" x14ac:dyDescent="0.25">
      <c r="A6" t="s">
        <v>1724</v>
      </c>
      <c r="B6" s="15">
        <f>+B4+4</f>
        <v>45006</v>
      </c>
      <c r="C6" s="13">
        <f t="shared" si="0"/>
        <v>3</v>
      </c>
      <c r="D6" s="14" t="str">
        <f t="shared" si="1"/>
        <v>#Matete Nro 114
Se alimentan sin preocuparse por la presión arterial
8 letras
#MateteDivergente</v>
      </c>
      <c r="E6" s="17"/>
      <c r="F6" s="17"/>
      <c r="G6" s="6">
        <v>11627</v>
      </c>
      <c r="H6" s="1">
        <v>114</v>
      </c>
      <c r="I6" s="2" t="s">
        <v>406</v>
      </c>
      <c r="J6" s="2" t="s">
        <v>406</v>
      </c>
      <c r="K6" s="2" t="s">
        <v>407</v>
      </c>
      <c r="L6" s="2">
        <f t="shared" si="2"/>
        <v>8</v>
      </c>
      <c r="M6" s="2" t="s">
        <v>68</v>
      </c>
      <c r="N6" s="2" t="s">
        <v>3</v>
      </c>
      <c r="O6" s="1">
        <v>11</v>
      </c>
      <c r="P6" s="2" t="s">
        <v>408</v>
      </c>
      <c r="Q6" s="2" t="s">
        <v>409</v>
      </c>
      <c r="R6" s="2"/>
      <c r="S6" s="2" t="s">
        <v>410</v>
      </c>
      <c r="U6" s="2" t="s">
        <v>7</v>
      </c>
    </row>
    <row r="7" spans="1:21" ht="76.5" hidden="1" x14ac:dyDescent="0.25">
      <c r="A7" t="s">
        <v>1724</v>
      </c>
      <c r="B7" s="15">
        <f>+B6+4</f>
        <v>45010</v>
      </c>
      <c r="C7" s="13">
        <f t="shared" si="0"/>
        <v>7</v>
      </c>
      <c r="D7" s="14" t="str">
        <f t="shared" si="1"/>
        <v>#Matete Nro 277
Pedazo de tronco de un árbol cortado que es mío
7 letras
#MateteDivergente</v>
      </c>
      <c r="E7" s="17"/>
      <c r="F7" s="17"/>
      <c r="G7" s="6">
        <v>16231</v>
      </c>
      <c r="H7" s="1">
        <v>277</v>
      </c>
      <c r="I7" s="2" t="s">
        <v>927</v>
      </c>
      <c r="J7" s="2" t="s">
        <v>927</v>
      </c>
      <c r="K7" s="2" t="s">
        <v>928</v>
      </c>
      <c r="L7" s="2">
        <f t="shared" si="2"/>
        <v>7</v>
      </c>
      <c r="M7" s="2"/>
      <c r="N7" s="2" t="s">
        <v>3</v>
      </c>
      <c r="O7" s="1">
        <v>21</v>
      </c>
      <c r="P7" s="2"/>
      <c r="Q7" s="2"/>
      <c r="R7" s="2"/>
      <c r="S7" s="2" t="s">
        <v>929</v>
      </c>
      <c r="U7" s="2" t="s">
        <v>740</v>
      </c>
    </row>
    <row r="8" spans="1:21" ht="114.75" hidden="1" x14ac:dyDescent="0.25">
      <c r="A8" t="s">
        <v>1724</v>
      </c>
      <c r="B8" s="15">
        <f>+B7+3</f>
        <v>45013</v>
      </c>
      <c r="C8" s="13">
        <f t="shared" ref="C8:C54" si="3">IF(B8&lt;&gt;"",WEEKDAY(B8),"x")</f>
        <v>3</v>
      </c>
      <c r="D8" s="14" t="str">
        <f>E8&amp;CHAR(10)&amp;CHAR(10)&amp;K8&amp;CHAR(10)&amp;CHAR(10)&amp;L8&amp;" letras"</f>
        <v>Adivina el #Matete 148 y aumenta tu nivel de divergencia cerebral
Nombre propio femenino que da sanidad a su propio apócope
6 letras</v>
      </c>
      <c r="E8" s="17" t="s">
        <v>1803</v>
      </c>
      <c r="F8" s="17">
        <f>LEN(D8)</f>
        <v>134</v>
      </c>
      <c r="G8" s="6">
        <v>20276</v>
      </c>
      <c r="H8" s="1">
        <v>148</v>
      </c>
      <c r="I8" s="2" t="s">
        <v>523</v>
      </c>
      <c r="J8" s="2" t="s">
        <v>523</v>
      </c>
      <c r="K8" s="2" t="s">
        <v>1800</v>
      </c>
      <c r="L8" s="2">
        <f t="shared" si="2"/>
        <v>6</v>
      </c>
      <c r="M8" s="2"/>
      <c r="N8" s="2" t="s">
        <v>524</v>
      </c>
      <c r="O8" s="1">
        <v>14</v>
      </c>
      <c r="P8" s="2"/>
      <c r="Q8" s="2"/>
      <c r="R8" s="2"/>
      <c r="S8" s="2" t="s">
        <v>525</v>
      </c>
      <c r="U8" s="2" t="s">
        <v>7</v>
      </c>
    </row>
    <row r="9" spans="1:21" ht="114.75" hidden="1" x14ac:dyDescent="0.25">
      <c r="A9" t="s">
        <v>1808</v>
      </c>
      <c r="B9" s="15" t="s">
        <v>1807</v>
      </c>
      <c r="C9" s="13" t="s">
        <v>740</v>
      </c>
      <c r="D9" s="14" t="str">
        <f>"Matete 271" &amp;CHAR(10) &amp; CHAR(10) &amp;K9&amp;CHAR(10)&amp;L9&amp;" letras"&amp;CHAR(10)&amp;CHAR(10)&amp; E9</f>
        <v>Matete 271
Crean una monja
8 letras
Si lo adivinas, te ganas un premio Eric de aplausos y campanadas: Clap ton Clap ton</v>
      </c>
      <c r="E9" s="19" t="s">
        <v>1806</v>
      </c>
      <c r="F9" s="17">
        <f>LEN(D9)</f>
        <v>121</v>
      </c>
      <c r="G9" s="6">
        <v>27152</v>
      </c>
      <c r="H9" s="1">
        <v>271</v>
      </c>
      <c r="I9" s="2" t="s">
        <v>907</v>
      </c>
      <c r="J9" s="2" t="s">
        <v>907</v>
      </c>
      <c r="K9" s="2" t="s">
        <v>908</v>
      </c>
      <c r="L9" s="2">
        <f t="shared" si="2"/>
        <v>8</v>
      </c>
      <c r="M9" s="2"/>
      <c r="N9" s="2" t="s">
        <v>3</v>
      </c>
      <c r="O9" s="1">
        <v>21</v>
      </c>
      <c r="P9" s="2"/>
      <c r="Q9" s="2"/>
      <c r="R9" s="2"/>
      <c r="S9" s="2" t="s">
        <v>909</v>
      </c>
      <c r="U9" s="2" t="s">
        <v>740</v>
      </c>
    </row>
    <row r="10" spans="1:21" ht="89.25" hidden="1" x14ac:dyDescent="0.25">
      <c r="A10" t="s">
        <v>1724</v>
      </c>
      <c r="B10" s="15">
        <v>45020</v>
      </c>
      <c r="C10" s="13">
        <f t="shared" si="3"/>
        <v>3</v>
      </c>
      <c r="D10" s="14" t="str">
        <f>E10&amp;CHAR(10) &amp; H10&amp; CHAR(10) &amp; CHAR(10) &amp;K10&amp;CHAR(10)&amp;L10&amp;" letras"</f>
        <v>A despertar neuronas, que llegó el #Matete Nro
490
Arteria que tiene una creencia de buen comportamiento
7 letras</v>
      </c>
      <c r="E10" t="s">
        <v>1811</v>
      </c>
      <c r="F10" s="17">
        <f>LEN(D10)</f>
        <v>114</v>
      </c>
      <c r="G10" s="6">
        <v>29085</v>
      </c>
      <c r="H10" s="1">
        <v>490</v>
      </c>
      <c r="I10" s="2" t="s">
        <v>1368</v>
      </c>
      <c r="J10" s="2" t="s">
        <v>1368</v>
      </c>
      <c r="K10" s="2" t="s">
        <v>1369</v>
      </c>
      <c r="L10" s="2">
        <f t="shared" si="2"/>
        <v>7</v>
      </c>
      <c r="M10" s="2"/>
      <c r="N10" s="2" t="s">
        <v>3</v>
      </c>
      <c r="O10" s="1">
        <v>32</v>
      </c>
      <c r="P10" s="2"/>
      <c r="Q10" s="2"/>
      <c r="R10" s="2"/>
      <c r="S10" s="2" t="s">
        <v>1370</v>
      </c>
      <c r="U10" s="2" t="s">
        <v>740</v>
      </c>
    </row>
    <row r="11" spans="1:21" ht="114.75" hidden="1" x14ac:dyDescent="0.25">
      <c r="A11" t="s">
        <v>1723</v>
      </c>
      <c r="B11" s="15">
        <f>+B10+4</f>
        <v>45024</v>
      </c>
      <c r="C11" s="13">
        <f>IF(B11&lt;&gt;"",WEEKDAY(B11),"x")</f>
        <v>7</v>
      </c>
      <c r="D11" s="14" t="str">
        <f>E11 &amp;H11&amp;CHAR(10)&amp;CHAR(10)&amp;K11&amp;CHAR(10)&amp;L11&amp;" letras"&amp;CHAR(10)&amp;CHAR(10)&amp;"#MateteDivergente"</f>
        <v>Superluper! Quitale herrumbre a tus neuronas con el Matete Nro 636
Señor inglés con cuatro patas y respaldo
8 letras
#MateteDivergente</v>
      </c>
      <c r="E11" s="19" t="s">
        <v>1812</v>
      </c>
      <c r="F11" s="17">
        <f t="shared" ref="F11:F75" si="4">LEN(D11)</f>
        <v>136</v>
      </c>
      <c r="G11" s="6">
        <v>29383</v>
      </c>
      <c r="H11" s="1">
        <v>636</v>
      </c>
      <c r="I11" s="2" t="s">
        <v>1571</v>
      </c>
      <c r="J11" s="2" t="s">
        <v>1574</v>
      </c>
      <c r="K11" s="2" t="s">
        <v>1572</v>
      </c>
      <c r="L11" s="2">
        <f t="shared" si="2"/>
        <v>8</v>
      </c>
      <c r="M11" s="2"/>
      <c r="N11" s="2" t="s">
        <v>3</v>
      </c>
      <c r="O11" s="1">
        <v>35</v>
      </c>
      <c r="P11" s="2"/>
      <c r="Q11" s="2"/>
      <c r="R11" s="2"/>
      <c r="S11" s="2" t="s">
        <v>1573</v>
      </c>
      <c r="U11" s="2" t="s">
        <v>1423</v>
      </c>
    </row>
    <row r="12" spans="1:21" ht="89.25" hidden="1" x14ac:dyDescent="0.25">
      <c r="A12" t="s">
        <v>1724</v>
      </c>
      <c r="B12" s="15">
        <f>+B11+3</f>
        <v>45027</v>
      </c>
      <c r="C12" s="13">
        <f t="shared" si="3"/>
        <v>3</v>
      </c>
      <c r="D12" s="14" t="str">
        <f>"#Matete Nro "&amp;H12&amp;CHAR(10)&amp;K12&amp;CHAR(10)&amp;L12&amp;" letras"&amp;CHAR(10)&amp;CHAR(10)&amp;"#Juegodepalabras #adivinanzas #crucigramas"</f>
        <v>#Matete Nro 415
Que haga sonidos melodiosos un animal acuático
8 letras
#Juegodepalabras #adivinanzas #crucigramas</v>
      </c>
      <c r="E12" s="19" t="s">
        <v>1813</v>
      </c>
      <c r="F12" s="17">
        <f t="shared" si="4"/>
        <v>115</v>
      </c>
      <c r="G12" s="6">
        <v>33251</v>
      </c>
      <c r="H12" s="1">
        <v>415</v>
      </c>
      <c r="I12" s="2" t="s">
        <v>1247</v>
      </c>
      <c r="J12" s="2" t="s">
        <v>1247</v>
      </c>
      <c r="K12" s="2" t="s">
        <v>1248</v>
      </c>
      <c r="L12" s="2">
        <f t="shared" si="2"/>
        <v>8</v>
      </c>
      <c r="M12" s="2" t="s">
        <v>68</v>
      </c>
      <c r="N12" s="2" t="s">
        <v>3</v>
      </c>
      <c r="O12" s="1">
        <v>30</v>
      </c>
      <c r="P12" s="2"/>
      <c r="Q12" s="2"/>
      <c r="R12" s="2"/>
      <c r="S12" s="2" t="s">
        <v>1249</v>
      </c>
      <c r="U12" s="2" t="s">
        <v>740</v>
      </c>
    </row>
    <row r="13" spans="1:21" ht="76.5" x14ac:dyDescent="0.25">
      <c r="A13" t="s">
        <v>1724</v>
      </c>
      <c r="B13" s="15">
        <f>+B12+4</f>
        <v>45031</v>
      </c>
      <c r="C13" s="13">
        <f>IF(B13&lt;&gt;"",WEEKDAY(B13),"x")</f>
        <v>7</v>
      </c>
      <c r="D13" s="14" t="str">
        <f t="shared" ref="D13:D78" si="5">"#Matete Nro "&amp;H13&amp;CHAR(10)&amp;K13&amp;CHAR(10)&amp;L13&amp;" letras"&amp;CHAR(10)&amp;CHAR(10)&amp;"#Juegodepalabras #adivinanzas #crucigramas"</f>
        <v>#Matete Nro 74
Pasa la escoba en el vacío
9 letras
#Juegodepalabras #adivinanzas #crucigramas</v>
      </c>
      <c r="E13" s="19" t="s">
        <v>1783</v>
      </c>
      <c r="F13" s="17">
        <f t="shared" si="4"/>
        <v>94</v>
      </c>
      <c r="G13" s="6">
        <v>35202</v>
      </c>
      <c r="H13" s="1">
        <v>74</v>
      </c>
      <c r="I13" s="2" t="s">
        <v>261</v>
      </c>
      <c r="J13" s="2" t="s">
        <v>264</v>
      </c>
      <c r="K13" s="2" t="s">
        <v>262</v>
      </c>
      <c r="L13" s="2">
        <f t="shared" si="2"/>
        <v>9</v>
      </c>
      <c r="M13" s="2" t="s">
        <v>39</v>
      </c>
      <c r="N13" s="2" t="s">
        <v>3</v>
      </c>
      <c r="O13" s="1">
        <v>7</v>
      </c>
      <c r="P13" s="2"/>
      <c r="Q13" s="2"/>
      <c r="R13" s="2"/>
      <c r="S13" s="2" t="s">
        <v>263</v>
      </c>
      <c r="U13" s="2" t="s">
        <v>7</v>
      </c>
    </row>
    <row r="14" spans="1:21" ht="89.25" hidden="1" x14ac:dyDescent="0.25">
      <c r="A14" t="s">
        <v>1724</v>
      </c>
      <c r="B14" s="15">
        <v>45033</v>
      </c>
      <c r="C14" s="13">
        <f>IF(B14&lt;&gt;"",WEEKDAY(B14),"x")</f>
        <v>2</v>
      </c>
      <c r="D14" s="14" t="str">
        <f>E14&amp;H14&amp;CHAR(10)&amp;K14&amp;CHAR(10)&amp;L14&amp;" letras"&amp;CHAR(10)&amp;CHAR(10)&amp;"#Juegodepalabras #adivinanzas #crucigramas"</f>
        <v>Por el cumple de la Pi, hoy va el #Matete Nro 19
Creencia de verano
8 letras
#Juegodepalabras #adivinanzas #crucigramas</v>
      </c>
      <c r="E14" s="19" t="s">
        <v>1814</v>
      </c>
      <c r="F14" s="17">
        <f t="shared" si="4"/>
        <v>120</v>
      </c>
      <c r="G14" s="6">
        <v>254728</v>
      </c>
      <c r="H14" s="1">
        <v>19</v>
      </c>
      <c r="I14" s="2" t="s">
        <v>788</v>
      </c>
      <c r="J14" s="2" t="s">
        <v>788</v>
      </c>
      <c r="K14" s="2" t="s">
        <v>789</v>
      </c>
      <c r="L14" s="2">
        <f t="shared" si="2"/>
        <v>8</v>
      </c>
      <c r="M14" s="2" t="s">
        <v>349</v>
      </c>
      <c r="N14" s="2" t="s">
        <v>76</v>
      </c>
      <c r="O14" s="1">
        <v>18</v>
      </c>
      <c r="P14" s="2"/>
      <c r="Q14" s="2"/>
      <c r="R14" s="2"/>
      <c r="S14" s="2" t="s">
        <v>790</v>
      </c>
      <c r="U14" s="2" t="s">
        <v>740</v>
      </c>
    </row>
    <row r="15" spans="1:21" ht="76.5" x14ac:dyDescent="0.25">
      <c r="A15" t="s">
        <v>1724</v>
      </c>
      <c r="B15" s="15">
        <f>+B13+3</f>
        <v>45034</v>
      </c>
      <c r="C15" s="13">
        <f t="shared" si="3"/>
        <v>3</v>
      </c>
      <c r="D15" s="14" t="str">
        <f t="shared" si="5"/>
        <v>#Matete Nro 67
Le quita la enfermedad
6 letras
#Juegodepalabras #adivinanzas #crucigramas</v>
      </c>
      <c r="E15" s="19" t="s">
        <v>1784</v>
      </c>
      <c r="F15" s="17">
        <f t="shared" si="4"/>
        <v>90</v>
      </c>
      <c r="G15" s="6">
        <v>38030</v>
      </c>
      <c r="H15" s="1">
        <v>67</v>
      </c>
      <c r="I15" s="2" t="s">
        <v>236</v>
      </c>
      <c r="J15" s="2" t="s">
        <v>236</v>
      </c>
      <c r="K15" s="2" t="s">
        <v>237</v>
      </c>
      <c r="L15" s="2">
        <f t="shared" si="2"/>
        <v>6</v>
      </c>
      <c r="M15" s="2" t="s">
        <v>2</v>
      </c>
      <c r="N15" s="2" t="s">
        <v>3</v>
      </c>
      <c r="O15" s="1">
        <v>7</v>
      </c>
      <c r="P15" s="2"/>
      <c r="Q15" s="2"/>
      <c r="R15" s="2"/>
      <c r="S15" s="2" t="s">
        <v>238</v>
      </c>
      <c r="U15" s="2" t="s">
        <v>7</v>
      </c>
    </row>
    <row r="16" spans="1:21" ht="89.25" x14ac:dyDescent="0.25">
      <c r="A16" t="s">
        <v>1724</v>
      </c>
      <c r="B16" s="15">
        <f>+B15+4</f>
        <v>45038</v>
      </c>
      <c r="C16" s="13">
        <f>IF(B16&lt;&gt;"",WEEKDAY(B16),"x")</f>
        <v>7</v>
      </c>
      <c r="D16" s="14" t="str">
        <f t="shared" si="5"/>
        <v>#Matete Nro 196
Posó sus ojos sobre el dibujo demostrativo
10 letras
#Juegodepalabras #adivinanzas #crucigramas</v>
      </c>
      <c r="E16" s="19" t="s">
        <v>1785</v>
      </c>
      <c r="F16" s="17">
        <f t="shared" si="4"/>
        <v>112</v>
      </c>
      <c r="G16" s="6">
        <v>50573</v>
      </c>
      <c r="H16" s="1">
        <v>196</v>
      </c>
      <c r="I16" s="2" t="s">
        <v>676</v>
      </c>
      <c r="J16" s="2" t="s">
        <v>679</v>
      </c>
      <c r="K16" s="2" t="s">
        <v>677</v>
      </c>
      <c r="L16" s="2">
        <f t="shared" si="2"/>
        <v>10</v>
      </c>
      <c r="M16" s="2"/>
      <c r="N16" s="2" t="s">
        <v>3</v>
      </c>
      <c r="O16" s="1">
        <v>16</v>
      </c>
      <c r="P16" s="2"/>
      <c r="Q16" s="2"/>
      <c r="R16" s="2"/>
      <c r="S16" s="2" t="s">
        <v>678</v>
      </c>
      <c r="U16" s="2" t="s">
        <v>7</v>
      </c>
    </row>
    <row r="17" spans="1:21" ht="76.5" x14ac:dyDescent="0.25">
      <c r="A17" t="s">
        <v>1724</v>
      </c>
      <c r="B17" s="15">
        <f>+B16+3</f>
        <v>45041</v>
      </c>
      <c r="C17" s="13">
        <f t="shared" si="3"/>
        <v>3</v>
      </c>
      <c r="D17" s="14" t="str">
        <f t="shared" si="5"/>
        <v>#Matete Nro 283
Degusto el cerebro
9 letras
#Juegodepalabras #adivinanzas #crucigramas</v>
      </c>
      <c r="E17" s="19" t="s">
        <v>1786</v>
      </c>
      <c r="F17" s="17">
        <f t="shared" si="4"/>
        <v>87</v>
      </c>
      <c r="G17" s="6">
        <v>51739</v>
      </c>
      <c r="H17" s="1">
        <v>283</v>
      </c>
      <c r="I17" s="2" t="s">
        <v>941</v>
      </c>
      <c r="J17" s="2" t="s">
        <v>941</v>
      </c>
      <c r="K17" s="2" t="s">
        <v>942</v>
      </c>
      <c r="L17" s="2">
        <f t="shared" si="2"/>
        <v>9</v>
      </c>
      <c r="M17" s="2"/>
      <c r="N17" s="2" t="s">
        <v>3</v>
      </c>
      <c r="O17" s="1">
        <v>22</v>
      </c>
      <c r="P17" s="2"/>
      <c r="Q17" s="2"/>
      <c r="R17" s="2"/>
      <c r="S17" s="2" t="s">
        <v>943</v>
      </c>
      <c r="U17" s="2" t="s">
        <v>740</v>
      </c>
    </row>
    <row r="18" spans="1:21" ht="76.5" x14ac:dyDescent="0.25">
      <c r="A18" t="s">
        <v>1724</v>
      </c>
      <c r="B18" s="15">
        <f>+B17+4</f>
        <v>45045</v>
      </c>
      <c r="C18" s="13">
        <f>IF(B18&lt;&gt;"",WEEKDAY(B18),"x")</f>
        <v>7</v>
      </c>
      <c r="D18" s="14" t="str">
        <f t="shared" si="5"/>
        <v>#Matete Nro 87
Historia descontada a los niños
9 letras
#Juegodepalabras #adivinanzas #crucigramas</v>
      </c>
      <c r="E18" s="19" t="s">
        <v>1787</v>
      </c>
      <c r="F18" s="17">
        <f t="shared" si="4"/>
        <v>99</v>
      </c>
      <c r="G18" s="6">
        <v>52381</v>
      </c>
      <c r="H18" s="1">
        <v>87</v>
      </c>
      <c r="I18" s="2" t="s">
        <v>306</v>
      </c>
      <c r="J18" s="2" t="s">
        <v>306</v>
      </c>
      <c r="K18" s="2" t="s">
        <v>307</v>
      </c>
      <c r="L18" s="2">
        <f t="shared" si="2"/>
        <v>9</v>
      </c>
      <c r="M18" s="2"/>
      <c r="N18" s="2" t="s">
        <v>3</v>
      </c>
      <c r="O18" s="1">
        <v>9</v>
      </c>
      <c r="P18" s="2"/>
      <c r="Q18" s="2"/>
      <c r="R18" s="2"/>
      <c r="S18" s="2" t="s">
        <v>308</v>
      </c>
      <c r="U18" s="2" t="s">
        <v>7</v>
      </c>
    </row>
    <row r="19" spans="1:21" ht="89.25" x14ac:dyDescent="0.25">
      <c r="A19" t="s">
        <v>1724</v>
      </c>
      <c r="B19" s="15">
        <f>+B18+3</f>
        <v>45048</v>
      </c>
      <c r="C19" s="13">
        <f t="shared" si="3"/>
        <v>3</v>
      </c>
      <c r="D19" s="14" t="str">
        <f t="shared" si="5"/>
        <v>#Matete Nro 77
Confrontación de k para verificar si dice la verdad
7 letras
#Juegodepalabras #adivinanzas #crucigramas</v>
      </c>
      <c r="E19" s="19" t="s">
        <v>1788</v>
      </c>
      <c r="F19" s="17">
        <f t="shared" si="4"/>
        <v>119</v>
      </c>
      <c r="G19" s="6">
        <v>52585</v>
      </c>
      <c r="H19" s="1">
        <v>77</v>
      </c>
      <c r="I19" s="2" t="s">
        <v>271</v>
      </c>
      <c r="J19" s="2" t="s">
        <v>271</v>
      </c>
      <c r="K19" s="2" t="s">
        <v>272</v>
      </c>
      <c r="L19" s="2">
        <f t="shared" si="2"/>
        <v>7</v>
      </c>
      <c r="M19" s="2" t="s">
        <v>2</v>
      </c>
      <c r="N19" s="2" t="s">
        <v>3</v>
      </c>
      <c r="O19" s="1">
        <v>8</v>
      </c>
      <c r="P19" s="2" t="s">
        <v>273</v>
      </c>
      <c r="Q19" s="2"/>
      <c r="R19" s="2"/>
      <c r="S19" s="2" t="s">
        <v>274</v>
      </c>
      <c r="U19" s="2" t="s">
        <v>7</v>
      </c>
    </row>
    <row r="20" spans="1:21" ht="89.25" x14ac:dyDescent="0.25">
      <c r="A20" t="s">
        <v>1724</v>
      </c>
      <c r="B20" s="15">
        <f>+B19+4</f>
        <v>45052</v>
      </c>
      <c r="C20" s="13">
        <f>IF(B20&lt;&gt;"",WEEKDAY(B20),"x")</f>
        <v>7</v>
      </c>
      <c r="D20" s="14" t="str">
        <f t="shared" si="5"/>
        <v>#Matete Nro 358
Abandoné la vida como un oso hembra
9 letras
#Juegodepalabras #adivinanzas #crucigramas</v>
      </c>
      <c r="E20" s="19" t="s">
        <v>1789</v>
      </c>
      <c r="F20" s="17">
        <f t="shared" si="4"/>
        <v>104</v>
      </c>
      <c r="G20" s="6">
        <v>53663</v>
      </c>
      <c r="H20" s="1">
        <v>358</v>
      </c>
      <c r="I20" s="2" t="s">
        <v>1150</v>
      </c>
      <c r="J20" s="2" t="s">
        <v>1150</v>
      </c>
      <c r="K20" s="2" t="s">
        <v>1815</v>
      </c>
      <c r="L20" s="2">
        <f t="shared" si="2"/>
        <v>9</v>
      </c>
      <c r="M20" s="2"/>
      <c r="N20" s="2" t="s">
        <v>83</v>
      </c>
      <c r="O20" s="1">
        <v>29</v>
      </c>
      <c r="P20" s="2"/>
      <c r="Q20" s="2"/>
      <c r="R20" s="2"/>
      <c r="S20" s="2" t="s">
        <v>1151</v>
      </c>
      <c r="U20" s="2" t="s">
        <v>740</v>
      </c>
    </row>
    <row r="21" spans="1:21" ht="89.25" x14ac:dyDescent="0.25">
      <c r="B21" s="15">
        <f>+B20+3</f>
        <v>45055</v>
      </c>
      <c r="C21" s="13">
        <f t="shared" si="3"/>
        <v>3</v>
      </c>
      <c r="D21" s="14" t="str">
        <f t="shared" si="5"/>
        <v>#Matete Nro 41
Acción que ejerce el masoquista enamorado
7 letras
#Juegodepalabras #adivinanzas #crucigramas</v>
      </c>
      <c r="E21" s="19" t="s">
        <v>1790</v>
      </c>
      <c r="F21" s="17">
        <f t="shared" si="4"/>
        <v>109</v>
      </c>
      <c r="G21" s="6">
        <v>65337</v>
      </c>
      <c r="H21" s="1">
        <v>41</v>
      </c>
      <c r="I21" s="2" t="s">
        <v>148</v>
      </c>
      <c r="J21" s="2" t="s">
        <v>152</v>
      </c>
      <c r="K21" s="2" t="s">
        <v>149</v>
      </c>
      <c r="L21" s="2">
        <f t="shared" si="2"/>
        <v>7</v>
      </c>
      <c r="M21" s="2" t="s">
        <v>2</v>
      </c>
      <c r="N21" s="2" t="s">
        <v>3</v>
      </c>
      <c r="O21" s="1">
        <v>4</v>
      </c>
      <c r="P21" s="2" t="s">
        <v>150</v>
      </c>
      <c r="Q21" s="2"/>
      <c r="R21" s="2"/>
      <c r="S21" s="2" t="s">
        <v>151</v>
      </c>
      <c r="U21" s="2" t="s">
        <v>7</v>
      </c>
    </row>
    <row r="22" spans="1:21" ht="89.25" x14ac:dyDescent="0.25">
      <c r="B22" s="15">
        <f>+B21+4</f>
        <v>45059</v>
      </c>
      <c r="C22" s="13">
        <f>IF(B22&lt;&gt;"",WEEKDAY(B22),"x")</f>
        <v>7</v>
      </c>
      <c r="D22" s="14" t="str">
        <f t="shared" si="5"/>
        <v>#Matete Nro 85
El que tiene el rostro más grande
8 letras
#Juegodepalabras #adivinanzas #crucigramas</v>
      </c>
      <c r="E22" s="19" t="s">
        <v>1791</v>
      </c>
      <c r="F22" s="17">
        <f t="shared" si="4"/>
        <v>101</v>
      </c>
      <c r="G22" s="6">
        <v>65685</v>
      </c>
      <c r="H22" s="1">
        <v>85</v>
      </c>
      <c r="I22" s="2" t="s">
        <v>299</v>
      </c>
      <c r="J22" s="2" t="s">
        <v>302</v>
      </c>
      <c r="K22" s="2" t="s">
        <v>300</v>
      </c>
      <c r="L22" s="2">
        <f t="shared" si="2"/>
        <v>8</v>
      </c>
      <c r="M22" s="2"/>
      <c r="N22" s="2" t="s">
        <v>3</v>
      </c>
      <c r="O22" s="1">
        <v>8</v>
      </c>
      <c r="P22" s="2"/>
      <c r="Q22" s="2"/>
      <c r="R22" s="2"/>
      <c r="S22" s="2" t="s">
        <v>301</v>
      </c>
      <c r="U22" s="2" t="s">
        <v>7</v>
      </c>
    </row>
    <row r="23" spans="1:21" ht="76.5" x14ac:dyDescent="0.25">
      <c r="B23" s="15">
        <f>+B22+3</f>
        <v>45062</v>
      </c>
      <c r="C23" s="13">
        <f t="shared" si="3"/>
        <v>3</v>
      </c>
      <c r="D23" s="14" t="str">
        <f t="shared" si="5"/>
        <v>#Matete Nro 694
Duo cura mi enfermedad
9 letras
#Juegodepalabras #adivinanzas #crucigramas</v>
      </c>
      <c r="E23" s="19" t="s">
        <v>1792</v>
      </c>
      <c r="F23" s="17">
        <f t="shared" si="4"/>
        <v>91</v>
      </c>
      <c r="G23" s="6">
        <v>69499</v>
      </c>
      <c r="H23" s="1">
        <v>694</v>
      </c>
      <c r="I23" s="2" t="s">
        <v>1653</v>
      </c>
      <c r="J23" s="2" t="s">
        <v>1656</v>
      </c>
      <c r="K23" s="2" t="s">
        <v>1654</v>
      </c>
      <c r="L23" s="2">
        <f t="shared" si="2"/>
        <v>9</v>
      </c>
      <c r="M23" s="2" t="s">
        <v>68</v>
      </c>
      <c r="N23" s="2" t="s">
        <v>83</v>
      </c>
      <c r="O23" s="1">
        <v>36</v>
      </c>
      <c r="P23" s="2"/>
      <c r="Q23" s="2"/>
      <c r="R23" s="2"/>
      <c r="S23" s="2" t="s">
        <v>1655</v>
      </c>
      <c r="U23" s="2" t="s">
        <v>1423</v>
      </c>
    </row>
    <row r="24" spans="1:21" ht="76.5" x14ac:dyDescent="0.25">
      <c r="B24" s="15">
        <f>+B23+4</f>
        <v>45066</v>
      </c>
      <c r="C24" s="13">
        <f>IF(B24&lt;&gt;"",WEEKDAY(B24),"x")</f>
        <v>7</v>
      </c>
      <c r="D24" s="14" t="str">
        <f t="shared" si="5"/>
        <v>#Matete Nro 172
Sostén una parte del ajo
9 letras
#Juegodepalabras #adivinanzas #crucigramas</v>
      </c>
      <c r="E24" s="19" t="s">
        <v>1793</v>
      </c>
      <c r="F24" s="17">
        <f t="shared" si="4"/>
        <v>93</v>
      </c>
      <c r="G24" s="6">
        <v>70302</v>
      </c>
      <c r="H24" s="1">
        <v>172</v>
      </c>
      <c r="I24" s="2" t="s">
        <v>592</v>
      </c>
      <c r="J24" s="2" t="s">
        <v>592</v>
      </c>
      <c r="K24" s="2" t="s">
        <v>593</v>
      </c>
      <c r="L24" s="2">
        <f t="shared" si="2"/>
        <v>9</v>
      </c>
      <c r="M24" s="2"/>
      <c r="N24" s="2" t="s">
        <v>3</v>
      </c>
      <c r="O24" s="1">
        <v>15</v>
      </c>
      <c r="P24" s="2"/>
      <c r="Q24" s="2"/>
      <c r="R24" s="2"/>
      <c r="S24" s="2" t="s">
        <v>594</v>
      </c>
      <c r="U24" s="2" t="s">
        <v>7</v>
      </c>
    </row>
    <row r="25" spans="1:21" ht="102" x14ac:dyDescent="0.25">
      <c r="B25" s="15">
        <f>+B24+3</f>
        <v>45069</v>
      </c>
      <c r="C25" s="13">
        <f t="shared" si="3"/>
        <v>3</v>
      </c>
      <c r="D25" s="14" t="str">
        <f t="shared" si="5"/>
        <v>#Matete Nro 424
Golpe que dan algunos animales con las patas traseras en forma de mono
7 letras
#Juegodepalabras #adivinanzas #crucigramas</v>
      </c>
      <c r="E25" s="19" t="s">
        <v>1794</v>
      </c>
      <c r="F25" s="17">
        <f t="shared" si="4"/>
        <v>139</v>
      </c>
      <c r="G25" s="6">
        <v>71210</v>
      </c>
      <c r="H25" s="1">
        <v>424</v>
      </c>
      <c r="I25" s="2" t="s">
        <v>1260</v>
      </c>
      <c r="J25" s="2" t="s">
        <v>1263</v>
      </c>
      <c r="K25" s="2" t="s">
        <v>1261</v>
      </c>
      <c r="L25" s="2">
        <f t="shared" si="2"/>
        <v>7</v>
      </c>
      <c r="M25" s="2" t="s">
        <v>68</v>
      </c>
      <c r="N25" s="2" t="s">
        <v>3</v>
      </c>
      <c r="O25" s="1">
        <v>30</v>
      </c>
      <c r="P25" s="2"/>
      <c r="Q25" s="2"/>
      <c r="R25" s="2"/>
      <c r="S25" s="2" t="s">
        <v>1262</v>
      </c>
      <c r="U25" s="2" t="s">
        <v>740</v>
      </c>
    </row>
    <row r="26" spans="1:21" ht="102" hidden="1" x14ac:dyDescent="0.25">
      <c r="A26" t="s">
        <v>1724</v>
      </c>
      <c r="B26" s="15">
        <v>45072</v>
      </c>
      <c r="C26" s="13">
        <f>IF(B26&lt;&gt;"",WEEKDAY(B26),"x")</f>
        <v>6</v>
      </c>
      <c r="D26" s="14" t="str">
        <f>"#Matete Nro "&amp;H26&amp; " como los años de Ajejo " &amp; CHAR(10)&amp;K26&amp;CHAR(10)&amp;L26&amp;" letras"&amp;CHAR(10)&amp;CHAR(10)&amp;"#Juegodepalabras #adivinanzas #crucigramas"</f>
        <v>#Matete Nro 17 como los años de Ajejo 
Instrumento musical que no está desempleado
10 letras
#Juegodepalabras #adivinanzas #crucigramas</v>
      </c>
      <c r="E26" s="17"/>
      <c r="F26" s="17">
        <f t="shared" si="4"/>
        <v>136</v>
      </c>
      <c r="G26" s="6">
        <v>1181731</v>
      </c>
      <c r="H26" s="1">
        <v>17</v>
      </c>
      <c r="I26" s="2" t="s">
        <v>1607</v>
      </c>
      <c r="J26" s="2" t="s">
        <v>1610</v>
      </c>
      <c r="K26" s="2" t="s">
        <v>1608</v>
      </c>
      <c r="L26" s="2">
        <f t="shared" si="2"/>
        <v>10</v>
      </c>
      <c r="M26" s="2"/>
      <c r="N26" s="2" t="s">
        <v>3</v>
      </c>
      <c r="O26" s="1">
        <v>35</v>
      </c>
      <c r="P26" s="2"/>
      <c r="Q26" s="2"/>
      <c r="R26" s="2"/>
      <c r="S26" s="2" t="s">
        <v>1609</v>
      </c>
      <c r="U26" s="2" t="s">
        <v>1423</v>
      </c>
    </row>
    <row r="27" spans="1:21" ht="89.25" x14ac:dyDescent="0.25">
      <c r="B27" s="15">
        <f>+B25+4</f>
        <v>45073</v>
      </c>
      <c r="C27" s="13">
        <f>IF(B27&lt;&gt;"",WEEKDAY(B27),"x")</f>
        <v>7</v>
      </c>
      <c r="D27" s="14" t="str">
        <f t="shared" si="5"/>
        <v>#Matete Nro 104
La onceava letra del abecedario no se decide
6 letras
#Juegodepalabras #adivinanzas #crucigramas</v>
      </c>
      <c r="E27" s="19" t="s">
        <v>1795</v>
      </c>
      <c r="F27" s="17">
        <f t="shared" si="4"/>
        <v>113</v>
      </c>
      <c r="G27" s="6">
        <v>71420</v>
      </c>
      <c r="H27" s="1">
        <v>104</v>
      </c>
      <c r="I27" s="2" t="s">
        <v>372</v>
      </c>
      <c r="J27" s="2" t="s">
        <v>372</v>
      </c>
      <c r="K27" s="2" t="s">
        <v>373</v>
      </c>
      <c r="L27" s="2">
        <f t="shared" si="2"/>
        <v>6</v>
      </c>
      <c r="M27" s="2" t="s">
        <v>360</v>
      </c>
      <c r="N27" s="2" t="s">
        <v>83</v>
      </c>
      <c r="O27" s="1">
        <v>10</v>
      </c>
      <c r="P27" s="2" t="s">
        <v>374</v>
      </c>
      <c r="Q27" s="2"/>
      <c r="R27" s="2"/>
      <c r="S27" s="2" t="s">
        <v>375</v>
      </c>
      <c r="U27" s="2" t="s">
        <v>7</v>
      </c>
    </row>
    <row r="28" spans="1:21" ht="76.5" x14ac:dyDescent="0.25">
      <c r="B28" s="15">
        <f>+B27+3</f>
        <v>45076</v>
      </c>
      <c r="C28" s="13">
        <f t="shared" si="3"/>
        <v>3</v>
      </c>
      <c r="D28" s="14" t="str">
        <f t="shared" si="5"/>
        <v>#Matete Nro 698
Quito todo el pelo a Dios
7 letras
#Juegodepalabras #adivinanzas #crucigramas</v>
      </c>
      <c r="E28" s="19" t="s">
        <v>1796</v>
      </c>
      <c r="F28" s="17">
        <f t="shared" si="4"/>
        <v>94</v>
      </c>
      <c r="G28" s="6">
        <v>76746</v>
      </c>
      <c r="H28" s="1">
        <v>698</v>
      </c>
      <c r="I28" s="2" t="s">
        <v>1660</v>
      </c>
      <c r="J28" s="2" t="s">
        <v>1660</v>
      </c>
      <c r="K28" s="2" t="s">
        <v>1661</v>
      </c>
      <c r="L28" s="2">
        <f t="shared" si="2"/>
        <v>7</v>
      </c>
      <c r="M28" s="2" t="s">
        <v>360</v>
      </c>
      <c r="N28" s="2" t="s">
        <v>3</v>
      </c>
      <c r="O28" s="1">
        <v>36</v>
      </c>
      <c r="P28" s="2"/>
      <c r="Q28" s="2"/>
      <c r="R28" s="2"/>
      <c r="S28" s="2" t="s">
        <v>1662</v>
      </c>
      <c r="U28" s="2" t="s">
        <v>1423</v>
      </c>
    </row>
    <row r="29" spans="1:21" ht="89.25" x14ac:dyDescent="0.25">
      <c r="B29" s="15">
        <f>+B28+4</f>
        <v>45080</v>
      </c>
      <c r="C29" s="13">
        <f>IF(B29&lt;&gt;"",WEEKDAY(B29),"x")</f>
        <v>7</v>
      </c>
      <c r="D29" s="14" t="str">
        <f t="shared" si="5"/>
        <v>#Matete Nro 84
Enfrentado con el gesto de la cara
10 letras
#Juegodepalabras #adivinanzas #crucigramas</v>
      </c>
      <c r="E29" s="19" t="s">
        <v>1797</v>
      </c>
      <c r="F29" s="17">
        <f t="shared" si="4"/>
        <v>103</v>
      </c>
      <c r="G29" s="6">
        <v>77015</v>
      </c>
      <c r="H29" s="1">
        <v>84</v>
      </c>
      <c r="I29" s="2" t="s">
        <v>296</v>
      </c>
      <c r="J29" s="2" t="s">
        <v>296</v>
      </c>
      <c r="K29" s="2" t="s">
        <v>297</v>
      </c>
      <c r="L29" s="2">
        <f t="shared" si="2"/>
        <v>10</v>
      </c>
      <c r="M29" s="2" t="s">
        <v>39</v>
      </c>
      <c r="N29" s="2" t="s">
        <v>3</v>
      </c>
      <c r="O29" s="1">
        <v>8</v>
      </c>
      <c r="P29" s="2"/>
      <c r="Q29" s="2"/>
      <c r="R29" s="2"/>
      <c r="S29" s="2" t="s">
        <v>298</v>
      </c>
      <c r="U29" s="2" t="s">
        <v>7</v>
      </c>
    </row>
    <row r="30" spans="1:21" ht="89.25" x14ac:dyDescent="0.25">
      <c r="B30" s="15">
        <f>+B29+3</f>
        <v>45083</v>
      </c>
      <c r="C30" s="13">
        <f t="shared" si="3"/>
        <v>3</v>
      </c>
      <c r="D30" s="14" t="str">
        <f t="shared" si="5"/>
        <v>#Matete Nro 350
Parte del pie hecha de harina cocida al horno
8 letras
#Juegodepalabras #adivinanzas #crucigramas</v>
      </c>
      <c r="E30" s="19" t="s">
        <v>1801</v>
      </c>
      <c r="F30" s="17">
        <f t="shared" si="4"/>
        <v>114</v>
      </c>
      <c r="G30" s="6">
        <v>78698</v>
      </c>
      <c r="H30" s="1">
        <v>350</v>
      </c>
      <c r="I30" s="2" t="s">
        <v>1136</v>
      </c>
      <c r="J30" s="2" t="s">
        <v>1139</v>
      </c>
      <c r="K30" s="2" t="s">
        <v>1137</v>
      </c>
      <c r="L30" s="2">
        <f t="shared" si="2"/>
        <v>8</v>
      </c>
      <c r="M30" s="2"/>
      <c r="N30" s="2" t="s">
        <v>3</v>
      </c>
      <c r="O30" s="1">
        <v>29</v>
      </c>
      <c r="P30" s="2"/>
      <c r="Q30" s="2"/>
      <c r="R30" s="2"/>
      <c r="S30" s="2" t="s">
        <v>1138</v>
      </c>
      <c r="U30" s="2" t="s">
        <v>740</v>
      </c>
    </row>
    <row r="31" spans="1:21" ht="89.25" x14ac:dyDescent="0.25">
      <c r="B31" s="15">
        <f>+B30+4</f>
        <v>45087</v>
      </c>
      <c r="C31" s="13">
        <f>IF(B31&lt;&gt;"",WEEKDAY(B31),"x")</f>
        <v>7</v>
      </c>
      <c r="D31" s="14" t="str">
        <f t="shared" si="5"/>
        <v>#Matete Nro 420
Entrelaza un olor fuerte y desagradable
7 letras
#Juegodepalabras #adivinanzas #crucigramas</v>
      </c>
      <c r="E31" s="19" t="s">
        <v>1802</v>
      </c>
      <c r="F31" s="17">
        <f t="shared" si="4"/>
        <v>108</v>
      </c>
      <c r="G31" s="6">
        <v>79946</v>
      </c>
      <c r="H31" s="1">
        <v>420</v>
      </c>
      <c r="I31" s="2" t="s">
        <v>1254</v>
      </c>
      <c r="J31" s="2" t="s">
        <v>1254</v>
      </c>
      <c r="K31" s="2" t="s">
        <v>1255</v>
      </c>
      <c r="L31" s="2">
        <f t="shared" si="2"/>
        <v>7</v>
      </c>
      <c r="M31" s="2" t="s">
        <v>68</v>
      </c>
      <c r="N31" s="2" t="s">
        <v>76</v>
      </c>
      <c r="O31" s="1">
        <v>30</v>
      </c>
      <c r="P31" s="2"/>
      <c r="Q31" s="2"/>
      <c r="R31" s="2"/>
      <c r="S31" s="2" t="s">
        <v>1256</v>
      </c>
      <c r="U31" s="2" t="s">
        <v>740</v>
      </c>
    </row>
    <row r="32" spans="1:21" ht="102" x14ac:dyDescent="0.25">
      <c r="B32" s="15">
        <f>+B31+3</f>
        <v>45090</v>
      </c>
      <c r="C32" s="13">
        <f t="shared" si="3"/>
        <v>3</v>
      </c>
      <c r="D32" s="14" t="str">
        <f t="shared" si="5"/>
        <v>#Matete Nro 558
Atraviese un término de la multiplicación con un objeto punzante
10 letras
#Juegodepalabras #adivinanzas #crucigramas</v>
      </c>
      <c r="E32" s="17"/>
      <c r="F32" s="17">
        <f t="shared" si="4"/>
        <v>134</v>
      </c>
      <c r="G32" s="6">
        <v>86817</v>
      </c>
      <c r="H32" s="1">
        <v>558</v>
      </c>
      <c r="I32" s="2" t="s">
        <v>1467</v>
      </c>
      <c r="J32" s="2" t="s">
        <v>1467</v>
      </c>
      <c r="K32" s="2" t="s">
        <v>1468</v>
      </c>
      <c r="L32" s="2">
        <f t="shared" si="2"/>
        <v>10</v>
      </c>
      <c r="M32" s="2" t="s">
        <v>68</v>
      </c>
      <c r="N32" s="2" t="s">
        <v>3</v>
      </c>
      <c r="O32" s="1">
        <v>34</v>
      </c>
      <c r="P32" s="2"/>
      <c r="Q32" s="2"/>
      <c r="R32" s="2"/>
      <c r="S32" s="2" t="s">
        <v>1469</v>
      </c>
      <c r="U32" s="2" t="s">
        <v>1423</v>
      </c>
    </row>
    <row r="33" spans="2:21" ht="89.25" x14ac:dyDescent="0.25">
      <c r="B33" s="15">
        <f>+B32+4</f>
        <v>45094</v>
      </c>
      <c r="C33" s="13">
        <f>IF(B33&lt;&gt;"",WEEKDAY(B33),"x")</f>
        <v>7</v>
      </c>
      <c r="D33" s="14" t="str">
        <f t="shared" si="5"/>
        <v>#Matete Nro 167
Cúpula más grande, superior al capitán
9 letras
#Juegodepalabras #adivinanzas #crucigramas</v>
      </c>
      <c r="E33" s="17"/>
      <c r="F33" s="17">
        <f t="shared" si="4"/>
        <v>107</v>
      </c>
      <c r="G33" s="6">
        <v>88035</v>
      </c>
      <c r="H33" s="1">
        <v>167</v>
      </c>
      <c r="I33" s="2" t="s">
        <v>580</v>
      </c>
      <c r="J33" s="2" t="s">
        <v>580</v>
      </c>
      <c r="K33" s="2" t="s">
        <v>581</v>
      </c>
      <c r="L33" s="2">
        <f t="shared" si="2"/>
        <v>9</v>
      </c>
      <c r="M33" s="2"/>
      <c r="N33" s="2" t="s">
        <v>3</v>
      </c>
      <c r="O33" s="1">
        <v>15</v>
      </c>
      <c r="P33" s="2"/>
      <c r="Q33" s="2"/>
      <c r="R33" s="2"/>
      <c r="S33" s="2" t="s">
        <v>582</v>
      </c>
      <c r="U33" s="2" t="s">
        <v>7</v>
      </c>
    </row>
    <row r="34" spans="2:21" ht="76.5" x14ac:dyDescent="0.25">
      <c r="B34" s="15">
        <f>+B33+3</f>
        <v>45097</v>
      </c>
      <c r="C34" s="13">
        <f t="shared" si="3"/>
        <v>3</v>
      </c>
      <c r="D34" s="14" t="str">
        <f t="shared" si="5"/>
        <v>#Matete Nro 506
Negación triple de los pájaros
5 letras
#Juegodepalabras #adivinanzas #crucigramas</v>
      </c>
      <c r="E34" s="17"/>
      <c r="F34" s="17">
        <f t="shared" si="4"/>
        <v>99</v>
      </c>
      <c r="G34" s="6">
        <v>89968</v>
      </c>
      <c r="H34" s="1">
        <v>506</v>
      </c>
      <c r="I34" s="2" t="s">
        <v>1389</v>
      </c>
      <c r="J34" s="2" t="s">
        <v>1392</v>
      </c>
      <c r="K34" s="2" t="s">
        <v>1390</v>
      </c>
      <c r="L34" s="2">
        <f t="shared" si="2"/>
        <v>5</v>
      </c>
      <c r="M34" s="2"/>
      <c r="N34" s="2" t="s">
        <v>3</v>
      </c>
      <c r="O34" s="1">
        <v>33</v>
      </c>
      <c r="P34" s="2"/>
      <c r="Q34" s="2"/>
      <c r="R34" s="2"/>
      <c r="S34" s="2" t="s">
        <v>1391</v>
      </c>
      <c r="U34" s="2" t="s">
        <v>740</v>
      </c>
    </row>
    <row r="35" spans="2:21" ht="89.25" x14ac:dyDescent="0.25">
      <c r="B35" s="15">
        <f>+B34+4</f>
        <v>45101</v>
      </c>
      <c r="C35" s="13">
        <f>IF(B35&lt;&gt;"",WEEKDAY(B35),"x")</f>
        <v>7</v>
      </c>
      <c r="D35" s="14" t="str">
        <f t="shared" si="5"/>
        <v>#Matete Nro 556
Tejio de mallas que se dedica a la actuación
8 letras
#Juegodepalabras #adivinanzas #crucigramas</v>
      </c>
      <c r="E35" s="17"/>
      <c r="F35" s="17">
        <f t="shared" si="4"/>
        <v>113</v>
      </c>
      <c r="G35" s="6">
        <v>90844</v>
      </c>
      <c r="H35" s="1">
        <v>556</v>
      </c>
      <c r="I35" s="2" t="s">
        <v>1464</v>
      </c>
      <c r="J35" s="2" t="s">
        <v>1464</v>
      </c>
      <c r="K35" s="2" t="s">
        <v>1465</v>
      </c>
      <c r="L35" s="2">
        <f t="shared" si="2"/>
        <v>8</v>
      </c>
      <c r="M35" s="2" t="s">
        <v>68</v>
      </c>
      <c r="N35" s="2" t="s">
        <v>513</v>
      </c>
      <c r="O35" s="1">
        <v>34</v>
      </c>
      <c r="P35" s="2"/>
      <c r="Q35" s="2"/>
      <c r="R35" s="2"/>
      <c r="S35" s="2" t="s">
        <v>1466</v>
      </c>
      <c r="U35" s="2" t="s">
        <v>1423</v>
      </c>
    </row>
    <row r="36" spans="2:21" ht="76.5" x14ac:dyDescent="0.25">
      <c r="B36" s="15">
        <f>+B35+3</f>
        <v>45104</v>
      </c>
      <c r="C36" s="13">
        <f t="shared" si="3"/>
        <v>3</v>
      </c>
      <c r="D36" s="14" t="str">
        <f t="shared" si="5"/>
        <v>#Matete Nro 594
Bajó la pestaña
7 letras
#Juegodepalabras #adivinanzas #crucigramas</v>
      </c>
      <c r="E36" s="17"/>
      <c r="F36" s="17">
        <f t="shared" si="4"/>
        <v>84</v>
      </c>
      <c r="G36" s="6">
        <v>91712</v>
      </c>
      <c r="H36" s="1">
        <v>594</v>
      </c>
      <c r="I36" s="2" t="s">
        <v>1522</v>
      </c>
      <c r="J36" s="2" t="s">
        <v>1522</v>
      </c>
      <c r="K36" s="2" t="s">
        <v>1523</v>
      </c>
      <c r="L36" s="2">
        <f t="shared" si="2"/>
        <v>7</v>
      </c>
      <c r="M36" s="2"/>
      <c r="N36" s="2" t="s">
        <v>76</v>
      </c>
      <c r="O36" s="1">
        <v>35</v>
      </c>
      <c r="P36" s="2"/>
      <c r="Q36" s="2"/>
      <c r="R36" s="2"/>
      <c r="S36" s="2" t="s">
        <v>1524</v>
      </c>
      <c r="U36" s="2" t="s">
        <v>1423</v>
      </c>
    </row>
    <row r="37" spans="2:21" ht="102" x14ac:dyDescent="0.25">
      <c r="B37" s="15">
        <f>+B36+4</f>
        <v>45108</v>
      </c>
      <c r="C37" s="13">
        <f>IF(B37&lt;&gt;"",WEEKDAY(B37),"x")</f>
        <v>7</v>
      </c>
      <c r="D37" s="14" t="str">
        <f t="shared" si="5"/>
        <v>#Matete Nro 197
Número exacto de zonas rurales agrícolas que genera gracias divinas
8 letras
#Juegodepalabras #adivinanzas #crucigramas</v>
      </c>
      <c r="E37" s="17"/>
      <c r="F37" s="17">
        <f t="shared" si="4"/>
        <v>136</v>
      </c>
      <c r="G37" s="6">
        <v>92838</v>
      </c>
      <c r="H37" s="1">
        <v>197</v>
      </c>
      <c r="I37" s="2" t="s">
        <v>680</v>
      </c>
      <c r="J37" s="2" t="s">
        <v>684</v>
      </c>
      <c r="K37" s="2" t="s">
        <v>681</v>
      </c>
      <c r="L37" s="2">
        <f t="shared" si="2"/>
        <v>8</v>
      </c>
      <c r="M37" s="2" t="s">
        <v>349</v>
      </c>
      <c r="N37" s="2" t="s">
        <v>3</v>
      </c>
      <c r="O37" s="1">
        <v>16</v>
      </c>
      <c r="P37" s="2" t="s">
        <v>682</v>
      </c>
      <c r="Q37" s="2"/>
      <c r="R37" s="2"/>
      <c r="S37" s="2" t="s">
        <v>683</v>
      </c>
      <c r="U37" s="2" t="s">
        <v>7</v>
      </c>
    </row>
    <row r="38" spans="2:21" ht="89.25" x14ac:dyDescent="0.25">
      <c r="B38" s="15">
        <f>+B37+3</f>
        <v>45111</v>
      </c>
      <c r="C38" s="13">
        <f t="shared" si="3"/>
        <v>3</v>
      </c>
      <c r="D38" s="14" t="str">
        <f t="shared" si="5"/>
        <v>#Matete Nro 450
Se sube sobre el que tiene muchos años
9 letras
#Juegodepalabras #adivinanzas #crucigramas</v>
      </c>
      <c r="E38" s="17"/>
      <c r="F38" s="17">
        <f t="shared" si="4"/>
        <v>107</v>
      </c>
      <c r="G38" s="6">
        <v>94059</v>
      </c>
      <c r="H38" s="1">
        <v>450</v>
      </c>
      <c r="I38" s="2" t="s">
        <v>1301</v>
      </c>
      <c r="J38" s="2" t="s">
        <v>1301</v>
      </c>
      <c r="K38" s="2" t="s">
        <v>1302</v>
      </c>
      <c r="L38" s="2">
        <f t="shared" si="2"/>
        <v>9</v>
      </c>
      <c r="M38" s="2" t="s">
        <v>1298</v>
      </c>
      <c r="N38" s="2" t="s">
        <v>76</v>
      </c>
      <c r="O38" s="1">
        <v>31</v>
      </c>
      <c r="P38" s="2"/>
      <c r="Q38" s="2"/>
      <c r="R38" s="2"/>
      <c r="S38" s="2" t="s">
        <v>1303</v>
      </c>
      <c r="U38" s="2" t="s">
        <v>740</v>
      </c>
    </row>
    <row r="39" spans="2:21" ht="76.5" x14ac:dyDescent="0.25">
      <c r="B39" s="15">
        <f>+B38+4</f>
        <v>45115</v>
      </c>
      <c r="C39" s="13">
        <f>IF(B39&lt;&gt;"",WEEKDAY(B39),"x")</f>
        <v>7</v>
      </c>
      <c r="D39" s="14" t="str">
        <f t="shared" si="5"/>
        <v>#Matete Nro 5
Retírate monja
7 letras
#Juegodepalabras #adivinanzas #crucigramas</v>
      </c>
      <c r="E39" s="17"/>
      <c r="F39" s="17">
        <f t="shared" si="4"/>
        <v>81</v>
      </c>
      <c r="G39" s="6">
        <v>102433</v>
      </c>
      <c r="H39" s="1">
        <v>5</v>
      </c>
      <c r="I39" s="2" t="s">
        <v>17</v>
      </c>
      <c r="J39" s="2" t="s">
        <v>17</v>
      </c>
      <c r="K39" s="2" t="s">
        <v>18</v>
      </c>
      <c r="L39" s="2">
        <f t="shared" si="2"/>
        <v>7</v>
      </c>
      <c r="M39" s="2" t="s">
        <v>2</v>
      </c>
      <c r="N39" s="2" t="s">
        <v>3</v>
      </c>
      <c r="O39" s="1">
        <v>1</v>
      </c>
      <c r="P39" s="2" t="s">
        <v>19</v>
      </c>
      <c r="Q39" s="2"/>
      <c r="R39" s="2"/>
      <c r="S39" s="2" t="s">
        <v>20</v>
      </c>
      <c r="U39" s="2" t="s">
        <v>7</v>
      </c>
    </row>
    <row r="40" spans="2:21" ht="89.25" x14ac:dyDescent="0.25">
      <c r="B40" s="15">
        <f>+B39+3</f>
        <v>45118</v>
      </c>
      <c r="C40" s="13">
        <f t="shared" si="3"/>
        <v>3</v>
      </c>
      <c r="D40" s="14" t="str">
        <f t="shared" si="5"/>
        <v>#Matete Nro 272
Camas plegables formadas por una letra y un número
6 letras
#Juegodepalabras #adivinanzas #crucigramas</v>
      </c>
      <c r="E40" s="17"/>
      <c r="F40" s="17">
        <f t="shared" si="4"/>
        <v>119</v>
      </c>
      <c r="G40" s="6">
        <v>104101</v>
      </c>
      <c r="H40" s="1">
        <v>272</v>
      </c>
      <c r="I40" s="2" t="s">
        <v>910</v>
      </c>
      <c r="J40" s="2" t="s">
        <v>910</v>
      </c>
      <c r="K40" s="2" t="s">
        <v>911</v>
      </c>
      <c r="L40" s="2">
        <f t="shared" si="2"/>
        <v>6</v>
      </c>
      <c r="M40" s="2"/>
      <c r="N40" s="2" t="s">
        <v>3</v>
      </c>
      <c r="O40" s="1">
        <v>21</v>
      </c>
      <c r="P40" s="2"/>
      <c r="Q40" s="2"/>
      <c r="R40" s="2"/>
      <c r="S40" s="2" t="s">
        <v>912</v>
      </c>
      <c r="U40" s="2" t="s">
        <v>740</v>
      </c>
    </row>
    <row r="41" spans="2:21" ht="102" x14ac:dyDescent="0.25">
      <c r="B41" s="15">
        <f>+B40+4</f>
        <v>45122</v>
      </c>
      <c r="C41" s="13">
        <f>IF(B41&lt;&gt;"",WEEKDAY(B41),"x")</f>
        <v>7</v>
      </c>
      <c r="D41" s="14" t="str">
        <f t="shared" si="5"/>
        <v>#Matete Nro 652
Diga palabras a una porción pequeña de agua de forma más o menos esférica
8 letras
#Juegodepalabras #adivinanzas #crucigramas</v>
      </c>
      <c r="E41" s="17"/>
      <c r="F41" s="17">
        <f t="shared" si="4"/>
        <v>142</v>
      </c>
      <c r="G41" s="6">
        <v>113948</v>
      </c>
      <c r="H41" s="1">
        <v>652</v>
      </c>
      <c r="I41" s="2" t="s">
        <v>1592</v>
      </c>
      <c r="J41" s="2" t="s">
        <v>1595</v>
      </c>
      <c r="K41" s="2" t="s">
        <v>1593</v>
      </c>
      <c r="L41" s="2">
        <f t="shared" si="2"/>
        <v>8</v>
      </c>
      <c r="M41" s="2"/>
      <c r="N41" s="2" t="s">
        <v>83</v>
      </c>
      <c r="O41" s="1">
        <v>35</v>
      </c>
      <c r="P41" s="2"/>
      <c r="Q41" s="2"/>
      <c r="R41" s="2"/>
      <c r="S41" s="2" t="s">
        <v>1594</v>
      </c>
      <c r="U41" s="2" t="s">
        <v>1423</v>
      </c>
    </row>
    <row r="42" spans="2:21" ht="89.25" x14ac:dyDescent="0.25">
      <c r="B42" s="15">
        <f>+B41+3</f>
        <v>45125</v>
      </c>
      <c r="C42" s="13">
        <f t="shared" si="3"/>
        <v>3</v>
      </c>
      <c r="D42" s="14" t="str">
        <f t="shared" si="5"/>
        <v>#Matete Nro 112
Ingresar junto con la tercera letra.
10 letras
#Juegodepalabras #adivinanzas #crucigramas</v>
      </c>
      <c r="E42" s="17"/>
      <c r="F42" s="17">
        <f t="shared" si="4"/>
        <v>106</v>
      </c>
      <c r="G42" s="6">
        <v>115017</v>
      </c>
      <c r="H42" s="1">
        <v>112</v>
      </c>
      <c r="I42" s="2" t="s">
        <v>398</v>
      </c>
      <c r="J42" s="2" t="s">
        <v>398</v>
      </c>
      <c r="K42" s="2" t="s">
        <v>399</v>
      </c>
      <c r="L42" s="2">
        <f t="shared" si="2"/>
        <v>10</v>
      </c>
      <c r="M42" s="2"/>
      <c r="N42" s="2" t="s">
        <v>76</v>
      </c>
      <c r="O42" s="1">
        <v>11</v>
      </c>
      <c r="P42" s="2" t="s">
        <v>400</v>
      </c>
      <c r="Q42" s="2"/>
      <c r="R42" s="2"/>
      <c r="S42" s="2" t="s">
        <v>401</v>
      </c>
      <c r="U42" s="2" t="s">
        <v>7</v>
      </c>
    </row>
    <row r="43" spans="2:21" ht="102" x14ac:dyDescent="0.25">
      <c r="B43" s="15">
        <f>+B42+4</f>
        <v>45129</v>
      </c>
      <c r="C43" s="13">
        <f>IF(B43&lt;&gt;"",WEEKDAY(B43),"x")</f>
        <v>7</v>
      </c>
      <c r="D43" s="14" t="str">
        <f t="shared" si="5"/>
        <v>#Matete Nro 648
Lugar donde paran a tomar un trago los que tiran del trineo de Papá Noel
7 letras
#Juegodepalabras #adivinanzas #crucigramas</v>
      </c>
      <c r="E43" s="17"/>
      <c r="F43" s="17">
        <f t="shared" si="4"/>
        <v>141</v>
      </c>
      <c r="G43" s="6">
        <v>115337</v>
      </c>
      <c r="H43" s="1">
        <v>648</v>
      </c>
      <c r="I43" s="2" t="s">
        <v>1585</v>
      </c>
      <c r="J43" s="2" t="s">
        <v>1585</v>
      </c>
      <c r="K43" s="2" t="s">
        <v>1586</v>
      </c>
      <c r="L43" s="2">
        <f t="shared" si="2"/>
        <v>7</v>
      </c>
      <c r="M43" s="2"/>
      <c r="N43" s="2" t="s">
        <v>3</v>
      </c>
      <c r="O43" s="1">
        <v>35</v>
      </c>
      <c r="P43" s="2"/>
      <c r="Q43" s="2"/>
      <c r="R43" s="2"/>
      <c r="S43" s="2" t="s">
        <v>1587</v>
      </c>
      <c r="U43" s="2" t="s">
        <v>1423</v>
      </c>
    </row>
    <row r="44" spans="2:21" ht="89.25" x14ac:dyDescent="0.25">
      <c r="B44" s="15">
        <f>+B43+3</f>
        <v>45132</v>
      </c>
      <c r="C44" s="13">
        <f t="shared" si="3"/>
        <v>3</v>
      </c>
      <c r="D44" s="14" t="str">
        <f t="shared" si="5"/>
        <v>#Matete Nro 88
El final que acaba con la ansiedad
10 letras
#Juegodepalabras #adivinanzas #crucigramas</v>
      </c>
      <c r="E44" s="17"/>
      <c r="F44" s="17">
        <f t="shared" si="4"/>
        <v>103</v>
      </c>
      <c r="G44" s="6">
        <v>115598</v>
      </c>
      <c r="H44" s="1">
        <v>88</v>
      </c>
      <c r="I44" s="2" t="s">
        <v>309</v>
      </c>
      <c r="J44" s="2" t="s">
        <v>313</v>
      </c>
      <c r="K44" s="2" t="s">
        <v>310</v>
      </c>
      <c r="L44" s="2">
        <f t="shared" si="2"/>
        <v>10</v>
      </c>
      <c r="M44" s="2"/>
      <c r="N44" s="2" t="s">
        <v>3</v>
      </c>
      <c r="O44" s="1">
        <v>9</v>
      </c>
      <c r="P44" s="2" t="s">
        <v>311</v>
      </c>
      <c r="Q44" s="2"/>
      <c r="R44" s="2"/>
      <c r="S44" s="2" t="s">
        <v>312</v>
      </c>
      <c r="U44" s="2" t="s">
        <v>7</v>
      </c>
    </row>
    <row r="45" spans="2:21" ht="89.25" x14ac:dyDescent="0.25">
      <c r="B45" s="15">
        <f>+B44+4</f>
        <v>45136</v>
      </c>
      <c r="C45" s="13">
        <f>IF(B45&lt;&gt;"",WEEKDAY(B45),"x")</f>
        <v>7</v>
      </c>
      <c r="D45" s="14" t="str">
        <f t="shared" si="5"/>
        <v>#Matete Nro 472
Movimiento telúrico producido por un molusco bivalvo
10 letras
#Juegodepalabras #adivinanzas #crucigramas</v>
      </c>
      <c r="E45" s="17"/>
      <c r="F45" s="17">
        <f t="shared" si="4"/>
        <v>122</v>
      </c>
      <c r="G45" s="6">
        <v>116118</v>
      </c>
      <c r="H45" s="1">
        <v>472</v>
      </c>
      <c r="I45" s="2" t="s">
        <v>1340</v>
      </c>
      <c r="J45" s="2" t="s">
        <v>1340</v>
      </c>
      <c r="K45" s="2" t="s">
        <v>1341</v>
      </c>
      <c r="L45" s="2">
        <f t="shared" si="2"/>
        <v>10</v>
      </c>
      <c r="M45" s="2"/>
      <c r="N45" s="2" t="s">
        <v>3</v>
      </c>
      <c r="O45" s="1">
        <v>32</v>
      </c>
      <c r="P45" s="2"/>
      <c r="Q45" s="2"/>
      <c r="R45" s="2"/>
      <c r="S45" s="2" t="s">
        <v>1342</v>
      </c>
      <c r="U45" s="2" t="s">
        <v>740</v>
      </c>
    </row>
    <row r="46" spans="2:21" ht="89.25" x14ac:dyDescent="0.25">
      <c r="B46" s="15">
        <f>+B45+3</f>
        <v>45139</v>
      </c>
      <c r="C46" s="13">
        <f t="shared" si="3"/>
        <v>3</v>
      </c>
      <c r="D46" s="14" t="str">
        <f t="shared" si="5"/>
        <v>#Matete Nro 319
Extensión de agua salada donde se refugian los guardias
9 letras
#Juegodepalabras #adivinanzas #crucigramas</v>
      </c>
      <c r="E46" s="17"/>
      <c r="F46" s="17">
        <f t="shared" si="4"/>
        <v>124</v>
      </c>
      <c r="G46" s="6">
        <v>126901</v>
      </c>
      <c r="H46" s="1">
        <v>319</v>
      </c>
      <c r="I46" s="2" t="s">
        <v>1056</v>
      </c>
      <c r="J46" s="2" t="s">
        <v>1056</v>
      </c>
      <c r="K46" s="2" t="s">
        <v>1057</v>
      </c>
      <c r="L46" s="2">
        <f t="shared" si="2"/>
        <v>9</v>
      </c>
      <c r="M46" s="2"/>
      <c r="N46" s="2" t="s">
        <v>3</v>
      </c>
      <c r="O46" s="1">
        <v>25</v>
      </c>
      <c r="P46" s="2"/>
      <c r="Q46" s="2"/>
      <c r="R46" s="2"/>
      <c r="S46" s="2" t="s">
        <v>1058</v>
      </c>
      <c r="U46" s="2" t="s">
        <v>740</v>
      </c>
    </row>
    <row r="47" spans="2:21" ht="76.5" x14ac:dyDescent="0.25">
      <c r="B47" s="15">
        <f>+B46+4</f>
        <v>45143</v>
      </c>
      <c r="C47" s="13">
        <f>IF(B47&lt;&gt;"",WEEKDAY(B47),"x")</f>
        <v>7</v>
      </c>
      <c r="D47" s="14" t="str">
        <f t="shared" si="5"/>
        <v>#Matete Nro 712
Postre cremoso de las nalgas
7 letras
#Juegodepalabras #adivinanzas #crucigramas</v>
      </c>
      <c r="E47" s="17"/>
      <c r="F47" s="17">
        <f t="shared" si="4"/>
        <v>97</v>
      </c>
      <c r="G47" s="6">
        <v>127123</v>
      </c>
      <c r="H47" s="1">
        <v>712</v>
      </c>
      <c r="I47" s="2" t="s">
        <v>1681</v>
      </c>
      <c r="J47" s="2" t="s">
        <v>1656</v>
      </c>
      <c r="K47" s="2" t="s">
        <v>1682</v>
      </c>
      <c r="L47" s="2">
        <f t="shared" si="2"/>
        <v>7</v>
      </c>
      <c r="M47" s="2" t="s">
        <v>68</v>
      </c>
      <c r="N47" s="2" t="s">
        <v>3</v>
      </c>
      <c r="O47" s="1">
        <v>36</v>
      </c>
      <c r="P47" s="2"/>
      <c r="Q47" s="2"/>
      <c r="R47" s="2"/>
      <c r="S47" s="2" t="s">
        <v>1683</v>
      </c>
      <c r="U47" s="2" t="s">
        <v>1423</v>
      </c>
    </row>
    <row r="48" spans="2:21" ht="89.25" x14ac:dyDescent="0.25">
      <c r="B48" s="15">
        <f>+B47+3</f>
        <v>45146</v>
      </c>
      <c r="C48" s="13">
        <f t="shared" si="3"/>
        <v>3</v>
      </c>
      <c r="D48" s="14" t="str">
        <f t="shared" si="5"/>
        <v>#Matete Nro 460
Lugar que supo tener mar y arena
7 letras
#Juegodepalabras #adivinanzas #crucigramas</v>
      </c>
      <c r="E48" s="17"/>
      <c r="F48" s="17">
        <f t="shared" si="4"/>
        <v>101</v>
      </c>
      <c r="G48" s="6">
        <v>130099</v>
      </c>
      <c r="H48" s="1">
        <v>460</v>
      </c>
      <c r="I48" s="2" t="s">
        <v>1319</v>
      </c>
      <c r="J48" s="2" t="s">
        <v>1322</v>
      </c>
      <c r="K48" s="2" t="s">
        <v>1320</v>
      </c>
      <c r="L48" s="2">
        <f t="shared" si="2"/>
        <v>7</v>
      </c>
      <c r="M48" s="2" t="s">
        <v>360</v>
      </c>
      <c r="N48" s="2" t="s">
        <v>3</v>
      </c>
      <c r="O48" s="1">
        <v>31</v>
      </c>
      <c r="P48" s="2"/>
      <c r="Q48" s="2"/>
      <c r="R48" s="2"/>
      <c r="S48" s="2" t="s">
        <v>1321</v>
      </c>
      <c r="U48" s="2" t="s">
        <v>740</v>
      </c>
    </row>
    <row r="49" spans="2:21" ht="76.5" x14ac:dyDescent="0.25">
      <c r="B49" s="15">
        <f>+B48+4</f>
        <v>45150</v>
      </c>
      <c r="C49" s="13">
        <f>IF(B49&lt;&gt;"",WEEKDAY(B49),"x")</f>
        <v>7</v>
      </c>
      <c r="D49" s="14" t="str">
        <f t="shared" si="5"/>
        <v>#Matete Nro 686
Indio que no llega a ser que.
7 letras
#Juegodepalabras #adivinanzas #crucigramas</v>
      </c>
      <c r="E49" s="17"/>
      <c r="F49" s="17">
        <f t="shared" si="4"/>
        <v>98</v>
      </c>
      <c r="G49" s="6">
        <v>136213</v>
      </c>
      <c r="H49" s="1">
        <v>686</v>
      </c>
      <c r="I49" s="2" t="s">
        <v>1639</v>
      </c>
      <c r="J49" s="2" t="s">
        <v>1642</v>
      </c>
      <c r="K49" s="2" t="s">
        <v>1640</v>
      </c>
      <c r="L49" s="2">
        <f t="shared" si="2"/>
        <v>7</v>
      </c>
      <c r="M49" s="2"/>
      <c r="N49" s="2" t="s">
        <v>3</v>
      </c>
      <c r="O49" s="1">
        <v>36</v>
      </c>
      <c r="P49" s="2"/>
      <c r="Q49" s="2"/>
      <c r="R49" s="2"/>
      <c r="S49" s="2" t="s">
        <v>1641</v>
      </c>
      <c r="U49" s="2" t="s">
        <v>1423</v>
      </c>
    </row>
    <row r="50" spans="2:21" ht="102" x14ac:dyDescent="0.25">
      <c r="B50" s="15">
        <f>+B49+3</f>
        <v>45153</v>
      </c>
      <c r="C50" s="13">
        <f t="shared" si="3"/>
        <v>3</v>
      </c>
      <c r="D50" s="14" t="str">
        <f t="shared" si="5"/>
        <v>#Matete Nro 12
Ausencia de autos de alquiler que estudia la estructura del lenguaje
8 letras
#Juegodepalabras #adivinanzas #crucigramas</v>
      </c>
      <c r="E50" s="17"/>
      <c r="F50" s="17">
        <f t="shared" si="4"/>
        <v>136</v>
      </c>
      <c r="G50" s="6">
        <v>140483</v>
      </c>
      <c r="H50" s="1">
        <v>12</v>
      </c>
      <c r="I50" s="2" t="s">
        <v>46</v>
      </c>
      <c r="J50" s="2" t="s">
        <v>46</v>
      </c>
      <c r="K50" s="2" t="s">
        <v>47</v>
      </c>
      <c r="L50" s="2">
        <f t="shared" si="2"/>
        <v>8</v>
      </c>
      <c r="M50" s="2" t="s">
        <v>2</v>
      </c>
      <c r="N50" s="2" t="s">
        <v>3</v>
      </c>
      <c r="O50" s="1">
        <v>2</v>
      </c>
      <c r="P50" s="2" t="s">
        <v>48</v>
      </c>
      <c r="Q50" s="2"/>
      <c r="R50" s="2"/>
      <c r="S50" s="2" t="s">
        <v>49</v>
      </c>
      <c r="U50" s="2" t="s">
        <v>7</v>
      </c>
    </row>
    <row r="51" spans="2:21" ht="76.5" x14ac:dyDescent="0.25">
      <c r="B51" s="15">
        <f>+B50+4</f>
        <v>45157</v>
      </c>
      <c r="C51" s="13">
        <f>IF(B51&lt;&gt;"",WEEKDAY(B51),"x")</f>
        <v>7</v>
      </c>
      <c r="D51" s="14" t="str">
        <f t="shared" si="5"/>
        <v>#Matete Nro 261
Creencia que niega la resta
9 letras
#Juegodepalabras #adivinanzas #crucigramas</v>
      </c>
      <c r="E51" s="17"/>
      <c r="F51" s="17">
        <f t="shared" si="4"/>
        <v>96</v>
      </c>
      <c r="G51" s="6">
        <v>154619</v>
      </c>
      <c r="H51" s="1">
        <v>261</v>
      </c>
      <c r="I51" s="2" t="s">
        <v>873</v>
      </c>
      <c r="J51" s="2" t="s">
        <v>876</v>
      </c>
      <c r="K51" s="2" t="s">
        <v>874</v>
      </c>
      <c r="L51" s="2">
        <f t="shared" si="2"/>
        <v>9</v>
      </c>
      <c r="M51" s="2"/>
      <c r="N51" s="2" t="s">
        <v>83</v>
      </c>
      <c r="O51" s="1">
        <v>21</v>
      </c>
      <c r="P51" s="2"/>
      <c r="Q51" s="2"/>
      <c r="R51" s="2"/>
      <c r="S51" s="2" t="s">
        <v>875</v>
      </c>
      <c r="U51" s="2" t="s">
        <v>740</v>
      </c>
    </row>
    <row r="52" spans="2:21" ht="89.25" x14ac:dyDescent="0.25">
      <c r="B52" s="15">
        <f>+B51+3</f>
        <v>45160</v>
      </c>
      <c r="C52" s="13">
        <f t="shared" si="3"/>
        <v>3</v>
      </c>
      <c r="D52" s="14" t="str">
        <f t="shared" si="5"/>
        <v>#Matete Nro 295
U punto cardinal divisible por dos
7 letras
#Juegodepalabras #adivinanzas #crucigramas</v>
      </c>
      <c r="E52" s="17"/>
      <c r="F52" s="17">
        <f t="shared" si="4"/>
        <v>103</v>
      </c>
      <c r="G52" s="6">
        <v>159885</v>
      </c>
      <c r="H52" s="1">
        <v>295</v>
      </c>
      <c r="I52" s="2" t="s">
        <v>981</v>
      </c>
      <c r="J52" s="2" t="s">
        <v>981</v>
      </c>
      <c r="K52" s="2" t="s">
        <v>982</v>
      </c>
      <c r="L52" s="2">
        <f t="shared" si="2"/>
        <v>7</v>
      </c>
      <c r="M52" s="2" t="s">
        <v>349</v>
      </c>
      <c r="N52" s="2" t="s">
        <v>83</v>
      </c>
      <c r="O52" s="1">
        <v>23</v>
      </c>
      <c r="P52" s="2"/>
      <c r="Q52" s="2"/>
      <c r="R52" s="2"/>
      <c r="S52" s="2" t="s">
        <v>983</v>
      </c>
      <c r="U52" s="2" t="s">
        <v>740</v>
      </c>
    </row>
    <row r="53" spans="2:21" ht="76.5" x14ac:dyDescent="0.25">
      <c r="B53" s="15">
        <f>+B52+4</f>
        <v>45164</v>
      </c>
      <c r="C53" s="13">
        <f>IF(B53&lt;&gt;"",WEEKDAY(B53),"x")</f>
        <v>7</v>
      </c>
      <c r="D53" s="14" t="str">
        <f t="shared" si="5"/>
        <v>#Matete Nro 411
Recorte las plantas tres veces
7 letras
#Juegodepalabras #adivinanzas #crucigramas</v>
      </c>
      <c r="E53" s="17"/>
      <c r="F53" s="17">
        <f t="shared" si="4"/>
        <v>99</v>
      </c>
      <c r="G53" s="6">
        <v>161210</v>
      </c>
      <c r="H53" s="1">
        <v>411</v>
      </c>
      <c r="I53" s="2" t="s">
        <v>1239</v>
      </c>
      <c r="J53" s="2" t="s">
        <v>1242</v>
      </c>
      <c r="K53" s="2" t="s">
        <v>1240</v>
      </c>
      <c r="L53" s="2">
        <f t="shared" si="2"/>
        <v>7</v>
      </c>
      <c r="M53" s="2" t="s">
        <v>68</v>
      </c>
      <c r="N53" s="2" t="s">
        <v>3</v>
      </c>
      <c r="O53" s="1">
        <v>29</v>
      </c>
      <c r="P53" s="2"/>
      <c r="Q53" s="2"/>
      <c r="R53" s="2"/>
      <c r="S53" s="2" t="s">
        <v>1241</v>
      </c>
      <c r="U53" s="2" t="s">
        <v>740</v>
      </c>
    </row>
    <row r="54" spans="2:21" ht="76.5" x14ac:dyDescent="0.25">
      <c r="B54" s="15">
        <f>+B53+3</f>
        <v>45167</v>
      </c>
      <c r="C54" s="13">
        <f t="shared" si="3"/>
        <v>3</v>
      </c>
      <c r="D54" s="14" t="str">
        <f t="shared" si="5"/>
        <v>#Matete Nro 86
Pájaro sin relieve
8 letras
#Juegodepalabras #adivinanzas #crucigramas</v>
      </c>
      <c r="E54" s="17"/>
      <c r="F54" s="17">
        <f t="shared" si="4"/>
        <v>86</v>
      </c>
      <c r="G54" s="6">
        <v>162050</v>
      </c>
      <c r="H54" s="1">
        <v>86</v>
      </c>
      <c r="I54" s="2" t="s">
        <v>303</v>
      </c>
      <c r="J54" s="2" t="s">
        <v>303</v>
      </c>
      <c r="K54" s="2" t="s">
        <v>304</v>
      </c>
      <c r="L54" s="2">
        <f t="shared" si="2"/>
        <v>8</v>
      </c>
      <c r="M54" s="2" t="s">
        <v>39</v>
      </c>
      <c r="N54" s="2" t="s">
        <v>3</v>
      </c>
      <c r="O54" s="1">
        <v>9</v>
      </c>
      <c r="P54" s="2"/>
      <c r="Q54" s="2"/>
      <c r="R54" s="2"/>
      <c r="S54" s="2" t="s">
        <v>305</v>
      </c>
      <c r="U54" s="2" t="s">
        <v>7</v>
      </c>
    </row>
    <row r="55" spans="2:21" ht="102" x14ac:dyDescent="0.25">
      <c r="B55" s="15">
        <f>+B54+3</f>
        <v>45170</v>
      </c>
      <c r="C55" s="13">
        <f t="shared" ref="C55:C118" si="6">IF(B55&lt;&gt;"",WEEKDAY(B55),"x")</f>
        <v>6</v>
      </c>
      <c r="D55" s="14" t="str">
        <f t="shared" si="5"/>
        <v>#Matete Nro 338
Dos barras perpendiculares que forman un monarca imperial ruso
6 letras
#Juegodepalabras #adivinanzas #crucigramas</v>
      </c>
      <c r="E55" s="17"/>
      <c r="F55" s="17">
        <f t="shared" si="4"/>
        <v>131</v>
      </c>
      <c r="G55" s="6">
        <v>162377</v>
      </c>
      <c r="H55" s="1">
        <v>338</v>
      </c>
      <c r="I55" s="2" t="s">
        <v>1114</v>
      </c>
      <c r="J55" s="2" t="s">
        <v>1114</v>
      </c>
      <c r="K55" s="2" t="s">
        <v>1115</v>
      </c>
      <c r="L55" s="2">
        <f t="shared" si="2"/>
        <v>6</v>
      </c>
      <c r="M55" s="2"/>
      <c r="N55" s="2" t="s">
        <v>76</v>
      </c>
      <c r="O55" s="1">
        <v>28</v>
      </c>
      <c r="P55" s="2"/>
      <c r="Q55" s="2"/>
      <c r="R55" s="2"/>
      <c r="S55" s="2" t="s">
        <v>1116</v>
      </c>
      <c r="U55" s="2" t="s">
        <v>740</v>
      </c>
    </row>
    <row r="56" spans="2:21" ht="76.5" x14ac:dyDescent="0.25">
      <c r="B56" s="15">
        <f>+B55+4</f>
        <v>45174</v>
      </c>
      <c r="C56" s="13">
        <f t="shared" si="6"/>
        <v>3</v>
      </c>
      <c r="D56" s="14" t="str">
        <f t="shared" si="5"/>
        <v>#Matete Nro 342
Antónimo lógico de sinsentido
10 letras
#Juegodepalabras #adivinanzas #crucigramas</v>
      </c>
      <c r="E56" s="17"/>
      <c r="F56" s="17">
        <f t="shared" si="4"/>
        <v>99</v>
      </c>
      <c r="G56" s="6">
        <v>163122</v>
      </c>
      <c r="H56" s="1">
        <v>342</v>
      </c>
      <c r="I56" s="2" t="s">
        <v>1123</v>
      </c>
      <c r="J56" s="2" t="s">
        <v>1123</v>
      </c>
      <c r="K56" s="2" t="s">
        <v>1124</v>
      </c>
      <c r="L56" s="2">
        <f t="shared" si="2"/>
        <v>10</v>
      </c>
      <c r="M56" s="2"/>
      <c r="N56" s="2" t="s">
        <v>3</v>
      </c>
      <c r="O56" s="1">
        <v>28</v>
      </c>
      <c r="P56" s="2"/>
      <c r="Q56" s="2"/>
      <c r="R56" s="2"/>
      <c r="S56" s="2" t="s">
        <v>1125</v>
      </c>
      <c r="U56" s="2" t="s">
        <v>740</v>
      </c>
    </row>
    <row r="57" spans="2:21" ht="89.25" x14ac:dyDescent="0.25">
      <c r="B57" s="15">
        <f>+B56+3</f>
        <v>45177</v>
      </c>
      <c r="C57" s="13">
        <f t="shared" si="6"/>
        <v>6</v>
      </c>
      <c r="D57" s="14" t="str">
        <f t="shared" si="5"/>
        <v>#Matete Nro 588
Cambié el postre más frío por otra cosa.
10 letras
#Juegodepalabras #adivinanzas #crucigramas</v>
      </c>
      <c r="E57" s="17"/>
      <c r="F57" s="17">
        <f t="shared" si="4"/>
        <v>110</v>
      </c>
      <c r="G57" s="6">
        <v>163961</v>
      </c>
      <c r="H57" s="1">
        <v>588</v>
      </c>
      <c r="I57" s="2" t="s">
        <v>1515</v>
      </c>
      <c r="J57" s="2" t="s">
        <v>1518</v>
      </c>
      <c r="K57" s="2" t="s">
        <v>1516</v>
      </c>
      <c r="L57" s="2">
        <f t="shared" si="2"/>
        <v>10</v>
      </c>
      <c r="M57" s="2"/>
      <c r="N57" s="2" t="s">
        <v>76</v>
      </c>
      <c r="O57" s="1">
        <v>34</v>
      </c>
      <c r="P57" s="2"/>
      <c r="Q57" s="2"/>
      <c r="R57" s="2"/>
      <c r="S57" s="2" t="s">
        <v>1517</v>
      </c>
      <c r="U57" s="2" t="s">
        <v>1423</v>
      </c>
    </row>
    <row r="58" spans="2:21" ht="89.25" x14ac:dyDescent="0.25">
      <c r="B58" s="15">
        <f>+B57+4</f>
        <v>45181</v>
      </c>
      <c r="C58" s="13">
        <f t="shared" si="6"/>
        <v>3</v>
      </c>
      <c r="D58" s="14" t="str">
        <f t="shared" si="5"/>
        <v>#Matete Nro 94
Le quito lo que sobra a la moto bruta
8 letras
#Juegodepalabras #adivinanzas #crucigramas</v>
      </c>
      <c r="E58" s="17"/>
      <c r="F58" s="17">
        <f t="shared" si="4"/>
        <v>105</v>
      </c>
      <c r="G58" s="6">
        <v>164306</v>
      </c>
      <c r="H58" s="1">
        <v>94</v>
      </c>
      <c r="I58" s="2" t="s">
        <v>332</v>
      </c>
      <c r="J58" s="2" t="s">
        <v>332</v>
      </c>
      <c r="K58" s="2" t="s">
        <v>333</v>
      </c>
      <c r="L58" s="2">
        <f t="shared" si="2"/>
        <v>8</v>
      </c>
      <c r="M58" s="2" t="s">
        <v>2</v>
      </c>
      <c r="N58" s="2" t="s">
        <v>3</v>
      </c>
      <c r="O58" s="1">
        <v>9</v>
      </c>
      <c r="P58" s="2" t="s">
        <v>334</v>
      </c>
      <c r="Q58" s="2"/>
      <c r="R58" s="2"/>
      <c r="S58" s="2" t="s">
        <v>335</v>
      </c>
      <c r="U58" s="2" t="s">
        <v>7</v>
      </c>
    </row>
    <row r="59" spans="2:21" ht="76.5" x14ac:dyDescent="0.25">
      <c r="B59" s="15">
        <f>+B58+3</f>
        <v>45184</v>
      </c>
      <c r="C59" s="13">
        <f t="shared" si="6"/>
        <v>6</v>
      </c>
      <c r="D59" s="14" t="str">
        <f t="shared" si="5"/>
        <v>#Matete Nro 330
Antes de la patada del caballo
6 letras
#Juegodepalabras #adivinanzas #crucigramas</v>
      </c>
      <c r="E59" s="17"/>
      <c r="F59" s="17">
        <f t="shared" si="4"/>
        <v>99</v>
      </c>
      <c r="G59" s="6">
        <v>166134</v>
      </c>
      <c r="H59" s="1">
        <v>330</v>
      </c>
      <c r="I59" s="2" t="s">
        <v>1089</v>
      </c>
      <c r="J59" s="2" t="s">
        <v>1089</v>
      </c>
      <c r="K59" s="2" t="s">
        <v>1090</v>
      </c>
      <c r="L59" s="2">
        <f t="shared" si="2"/>
        <v>6</v>
      </c>
      <c r="M59" s="2"/>
      <c r="N59" s="2" t="s">
        <v>3</v>
      </c>
      <c r="O59" s="1">
        <v>27</v>
      </c>
      <c r="P59" s="2"/>
      <c r="Q59" s="2"/>
      <c r="R59" s="2"/>
      <c r="S59" s="2" t="s">
        <v>1091</v>
      </c>
      <c r="U59" s="2" t="s">
        <v>740</v>
      </c>
    </row>
    <row r="60" spans="2:21" ht="89.25" x14ac:dyDescent="0.25">
      <c r="B60" s="15">
        <f>+B59+4</f>
        <v>45188</v>
      </c>
      <c r="C60" s="13">
        <f t="shared" si="6"/>
        <v>3</v>
      </c>
      <c r="D60" s="14" t="str">
        <f t="shared" si="5"/>
        <v>#Matete Nro 178
El que no puede reproducirse sube la bandera
10 letras
#Juegodepalabras #adivinanzas #crucigramas</v>
      </c>
      <c r="E60" s="17"/>
      <c r="F60" s="17">
        <f t="shared" si="4"/>
        <v>114</v>
      </c>
      <c r="G60" s="6">
        <v>167153</v>
      </c>
      <c r="H60" s="1">
        <v>178</v>
      </c>
      <c r="I60" s="2" t="s">
        <v>612</v>
      </c>
      <c r="J60" s="2" t="s">
        <v>616</v>
      </c>
      <c r="K60" s="2" t="s">
        <v>613</v>
      </c>
      <c r="L60" s="2">
        <f t="shared" si="2"/>
        <v>10</v>
      </c>
      <c r="M60" s="2" t="s">
        <v>68</v>
      </c>
      <c r="N60" s="2" t="s">
        <v>3</v>
      </c>
      <c r="O60" s="1">
        <v>15</v>
      </c>
      <c r="P60" s="2" t="s">
        <v>614</v>
      </c>
      <c r="Q60" s="2"/>
      <c r="R60" s="2"/>
      <c r="S60" s="2" t="s">
        <v>615</v>
      </c>
      <c r="U60" s="2" t="s">
        <v>7</v>
      </c>
    </row>
    <row r="61" spans="2:21" ht="76.5" x14ac:dyDescent="0.25">
      <c r="B61" s="15">
        <f>+B60+3</f>
        <v>45191</v>
      </c>
      <c r="C61" s="13">
        <f t="shared" si="6"/>
        <v>6</v>
      </c>
      <c r="D61" s="14" t="str">
        <f t="shared" si="5"/>
        <v>#Matete Nro 47
Paseo turístico negativo
5 letras
#Juegodepalabras #adivinanzas #crucigramas</v>
      </c>
      <c r="E61" s="17"/>
      <c r="F61" s="17">
        <f t="shared" si="4"/>
        <v>92</v>
      </c>
      <c r="G61" s="6">
        <v>169399</v>
      </c>
      <c r="H61" s="1">
        <v>47</v>
      </c>
      <c r="I61" s="2" t="s">
        <v>170</v>
      </c>
      <c r="J61" s="2" t="s">
        <v>170</v>
      </c>
      <c r="K61" s="2" t="s">
        <v>171</v>
      </c>
      <c r="L61" s="2">
        <f t="shared" si="2"/>
        <v>5</v>
      </c>
      <c r="M61" s="2" t="s">
        <v>2</v>
      </c>
      <c r="N61" s="2" t="s">
        <v>3</v>
      </c>
      <c r="O61" s="1">
        <v>5</v>
      </c>
      <c r="P61" s="2"/>
      <c r="Q61" s="2"/>
      <c r="R61" s="2"/>
      <c r="S61" s="2" t="s">
        <v>172</v>
      </c>
      <c r="U61" s="2" t="s">
        <v>7</v>
      </c>
    </row>
    <row r="62" spans="2:21" ht="76.5" x14ac:dyDescent="0.25">
      <c r="B62" s="15">
        <f>+B61+4</f>
        <v>45195</v>
      </c>
      <c r="C62" s="13">
        <f t="shared" si="6"/>
        <v>3</v>
      </c>
      <c r="D62" s="14" t="str">
        <f t="shared" si="5"/>
        <v>#Matete Nro 145
Cacerola del grillo
7 letras
#Juegodepalabras #adivinanzas #crucigramas</v>
      </c>
      <c r="E62" s="17"/>
      <c r="F62" s="17">
        <f t="shared" si="4"/>
        <v>88</v>
      </c>
      <c r="G62" s="6">
        <v>170429</v>
      </c>
      <c r="H62" s="1">
        <v>145</v>
      </c>
      <c r="I62" s="2" t="s">
        <v>511</v>
      </c>
      <c r="J62" s="2" t="s">
        <v>511</v>
      </c>
      <c r="K62" s="2" t="s">
        <v>512</v>
      </c>
      <c r="L62" s="2">
        <f t="shared" si="2"/>
        <v>7</v>
      </c>
      <c r="M62" s="2"/>
      <c r="N62" s="2" t="s">
        <v>513</v>
      </c>
      <c r="O62" s="1">
        <v>14</v>
      </c>
      <c r="P62" s="2"/>
      <c r="Q62" s="2"/>
      <c r="R62" s="2"/>
      <c r="S62" s="2" t="s">
        <v>514</v>
      </c>
      <c r="U62" s="2" t="s">
        <v>7</v>
      </c>
    </row>
    <row r="63" spans="2:21" ht="76.5" x14ac:dyDescent="0.25">
      <c r="B63" s="15">
        <f>+B62+3</f>
        <v>45198</v>
      </c>
      <c r="C63" s="13">
        <f t="shared" si="6"/>
        <v>6</v>
      </c>
      <c r="D63" s="14" t="str">
        <f t="shared" si="5"/>
        <v>#Matete Nro 139
Dos dan celos
7 letras
#Juegodepalabras #adivinanzas #crucigramas</v>
      </c>
      <c r="E63" s="17"/>
      <c r="F63" s="17">
        <f t="shared" si="4"/>
        <v>82</v>
      </c>
      <c r="G63" s="6">
        <v>175003</v>
      </c>
      <c r="H63" s="1">
        <v>139</v>
      </c>
      <c r="I63" s="2" t="s">
        <v>488</v>
      </c>
      <c r="J63" s="2" t="s">
        <v>488</v>
      </c>
      <c r="K63" s="2" t="s">
        <v>489</v>
      </c>
      <c r="L63" s="2">
        <f t="shared" si="2"/>
        <v>7</v>
      </c>
      <c r="M63" s="2" t="s">
        <v>360</v>
      </c>
      <c r="N63" s="2" t="s">
        <v>3</v>
      </c>
      <c r="O63" s="1">
        <v>13</v>
      </c>
      <c r="P63" s="2" t="s">
        <v>490</v>
      </c>
      <c r="Q63" s="2"/>
      <c r="R63" s="2"/>
      <c r="S63" s="2" t="s">
        <v>491</v>
      </c>
      <c r="U63" s="2" t="s">
        <v>7</v>
      </c>
    </row>
    <row r="64" spans="2:21" ht="89.25" x14ac:dyDescent="0.25">
      <c r="B64" s="15">
        <f>+B63+4</f>
        <v>45202</v>
      </c>
      <c r="C64" s="13">
        <f t="shared" si="6"/>
        <v>3</v>
      </c>
      <c r="D64" s="14" t="str">
        <f t="shared" si="5"/>
        <v>#Matete Nro 436
En este lugar la D de mi propiedad
8 letras
#Juegodepalabras #adivinanzas #crucigramas</v>
      </c>
      <c r="E64" s="17"/>
      <c r="F64" s="17">
        <f t="shared" si="4"/>
        <v>103</v>
      </c>
      <c r="G64" s="6">
        <v>175584</v>
      </c>
      <c r="H64" s="1">
        <v>436</v>
      </c>
      <c r="I64" s="2" t="s">
        <v>1276</v>
      </c>
      <c r="J64" s="2" t="s">
        <v>1276</v>
      </c>
      <c r="K64" s="2" t="s">
        <v>1277</v>
      </c>
      <c r="L64" s="2">
        <f t="shared" si="2"/>
        <v>8</v>
      </c>
      <c r="M64" s="2" t="s">
        <v>68</v>
      </c>
      <c r="N64" s="2" t="s">
        <v>83</v>
      </c>
      <c r="O64" s="1">
        <v>30</v>
      </c>
      <c r="P64" s="2"/>
      <c r="Q64" s="2"/>
      <c r="R64" s="2"/>
      <c r="S64" s="2" t="s">
        <v>1278</v>
      </c>
      <c r="U64" s="2" t="s">
        <v>740</v>
      </c>
    </row>
    <row r="65" spans="2:21" ht="89.25" x14ac:dyDescent="0.25">
      <c r="B65" s="15">
        <f>+B64+3</f>
        <v>45205</v>
      </c>
      <c r="C65" s="13">
        <f t="shared" si="6"/>
        <v>6</v>
      </c>
      <c r="D65" s="14" t="str">
        <f t="shared" si="5"/>
        <v>#Matete Nro 260
Desea intensamente el adverbio de negación
7 letras
#Juegodepalabras #adivinanzas #crucigramas</v>
      </c>
      <c r="E65" s="17"/>
      <c r="F65" s="17">
        <f t="shared" si="4"/>
        <v>111</v>
      </c>
      <c r="G65" s="6">
        <v>176426</v>
      </c>
      <c r="H65" s="1">
        <v>260</v>
      </c>
      <c r="I65" s="2" t="s">
        <v>870</v>
      </c>
      <c r="J65" s="2" t="s">
        <v>870</v>
      </c>
      <c r="K65" s="2" t="s">
        <v>871</v>
      </c>
      <c r="L65" s="2">
        <f t="shared" si="2"/>
        <v>7</v>
      </c>
      <c r="M65" s="2"/>
      <c r="N65" s="2" t="s">
        <v>3</v>
      </c>
      <c r="O65" s="1">
        <v>21</v>
      </c>
      <c r="P65" s="2"/>
      <c r="Q65" s="2"/>
      <c r="R65" s="2"/>
      <c r="S65" s="2" t="s">
        <v>872</v>
      </c>
      <c r="U65" s="2" t="s">
        <v>740</v>
      </c>
    </row>
    <row r="66" spans="2:21" ht="76.5" x14ac:dyDescent="0.25">
      <c r="B66" s="15">
        <f>+B65+4</f>
        <v>45209</v>
      </c>
      <c r="C66" s="13">
        <f t="shared" si="6"/>
        <v>3</v>
      </c>
      <c r="D66" s="14" t="str">
        <f t="shared" si="5"/>
        <v>#Matete Nro 329
Furgoneta antónimo de todo
9 letras
#Juegodepalabras #adivinanzas #crucigramas</v>
      </c>
      <c r="E66" s="17"/>
      <c r="F66" s="17">
        <f t="shared" si="4"/>
        <v>95</v>
      </c>
      <c r="G66" s="6">
        <v>177975</v>
      </c>
      <c r="H66" s="1">
        <v>329</v>
      </c>
      <c r="I66" s="2" t="s">
        <v>1085</v>
      </c>
      <c r="J66" s="2" t="s">
        <v>1088</v>
      </c>
      <c r="K66" s="2" t="s">
        <v>1086</v>
      </c>
      <c r="L66" s="2">
        <f t="shared" ref="L66:L129" si="7">LEN(I66)</f>
        <v>9</v>
      </c>
      <c r="M66" s="2"/>
      <c r="N66" s="2" t="s">
        <v>3</v>
      </c>
      <c r="O66" s="1">
        <v>27</v>
      </c>
      <c r="P66" s="2"/>
      <c r="Q66" s="2"/>
      <c r="R66" s="2"/>
      <c r="S66" s="2" t="s">
        <v>1087</v>
      </c>
      <c r="U66" s="2" t="s">
        <v>740</v>
      </c>
    </row>
    <row r="67" spans="2:21" ht="76.5" x14ac:dyDescent="0.25">
      <c r="B67" s="15">
        <f>+B66+3</f>
        <v>45212</v>
      </c>
      <c r="C67" s="13">
        <f t="shared" si="6"/>
        <v>6</v>
      </c>
      <c r="D67" s="14" t="str">
        <f t="shared" si="5"/>
        <v>#Matete Nro 310
Árbol que niega 3.14 veces
4 letras
#Juegodepalabras #adivinanzas #crucigramas</v>
      </c>
      <c r="E67" s="17"/>
      <c r="F67" s="17">
        <f t="shared" si="4"/>
        <v>95</v>
      </c>
      <c r="G67" s="6">
        <v>183250</v>
      </c>
      <c r="H67" s="1">
        <v>310</v>
      </c>
      <c r="I67" s="2" t="s">
        <v>1028</v>
      </c>
      <c r="J67" s="2" t="s">
        <v>1028</v>
      </c>
      <c r="K67" s="2" t="s">
        <v>1029</v>
      </c>
      <c r="L67" s="2">
        <f t="shared" si="7"/>
        <v>4</v>
      </c>
      <c r="M67" s="2"/>
      <c r="N67" s="2" t="s">
        <v>3</v>
      </c>
      <c r="O67" s="1">
        <v>24</v>
      </c>
      <c r="P67" s="2" t="s">
        <v>1030</v>
      </c>
      <c r="Q67" s="2"/>
      <c r="R67" s="2"/>
      <c r="S67" s="2" t="s">
        <v>1031</v>
      </c>
      <c r="U67" s="2" t="s">
        <v>740</v>
      </c>
    </row>
    <row r="68" spans="2:21" ht="89.25" x14ac:dyDescent="0.25">
      <c r="B68" s="15">
        <f>+B67+4</f>
        <v>45216</v>
      </c>
      <c r="C68" s="13">
        <f t="shared" si="6"/>
        <v>3</v>
      </c>
      <c r="D68" s="14" t="str">
        <f t="shared" si="5"/>
        <v>#Matete Nro 331
Entregues cosas una detrás de otra
7 letras
#Juegodepalabras #adivinanzas #crucigramas</v>
      </c>
      <c r="E68" s="17"/>
      <c r="F68" s="17">
        <f t="shared" si="4"/>
        <v>103</v>
      </c>
      <c r="G68" s="6">
        <v>185385</v>
      </c>
      <c r="H68" s="1">
        <v>331</v>
      </c>
      <c r="I68" s="2" t="s">
        <v>1092</v>
      </c>
      <c r="J68" s="2" t="s">
        <v>1095</v>
      </c>
      <c r="K68" s="2" t="s">
        <v>1093</v>
      </c>
      <c r="L68" s="2">
        <f t="shared" si="7"/>
        <v>7</v>
      </c>
      <c r="M68" s="2" t="s">
        <v>68</v>
      </c>
      <c r="N68" s="2" t="s">
        <v>3</v>
      </c>
      <c r="O68" s="1">
        <v>27</v>
      </c>
      <c r="P68" s="2"/>
      <c r="Q68" s="2"/>
      <c r="R68" s="2"/>
      <c r="S68" s="2" t="s">
        <v>1094</v>
      </c>
      <c r="U68" s="2" t="s">
        <v>740</v>
      </c>
    </row>
    <row r="69" spans="2:21" ht="76.5" x14ac:dyDescent="0.25">
      <c r="B69" s="15">
        <f>+B68+3</f>
        <v>45219</v>
      </c>
      <c r="C69" s="13">
        <f t="shared" si="6"/>
        <v>6</v>
      </c>
      <c r="D69" s="14" t="str">
        <f t="shared" si="5"/>
        <v>#Matete Nro 276
Nota musical que hace olas
5 letras
#Juegodepalabras #adivinanzas #crucigramas</v>
      </c>
      <c r="E69" s="17"/>
      <c r="F69" s="17">
        <f t="shared" si="4"/>
        <v>95</v>
      </c>
      <c r="G69" s="6">
        <v>187341</v>
      </c>
      <c r="H69" s="1">
        <v>276</v>
      </c>
      <c r="I69" s="2" t="s">
        <v>924</v>
      </c>
      <c r="J69" s="2" t="s">
        <v>924</v>
      </c>
      <c r="K69" s="2" t="s">
        <v>925</v>
      </c>
      <c r="L69" s="2">
        <f t="shared" si="7"/>
        <v>5</v>
      </c>
      <c r="M69" s="2"/>
      <c r="N69" s="2" t="s">
        <v>3</v>
      </c>
      <c r="O69" s="1">
        <v>21</v>
      </c>
      <c r="P69" s="2"/>
      <c r="Q69" s="2"/>
      <c r="R69" s="2"/>
      <c r="S69" s="2" t="s">
        <v>926</v>
      </c>
      <c r="U69" s="2" t="s">
        <v>740</v>
      </c>
    </row>
    <row r="70" spans="2:21" ht="76.5" x14ac:dyDescent="0.25">
      <c r="B70" s="15">
        <f>+B69+4</f>
        <v>45223</v>
      </c>
      <c r="C70" s="13">
        <f t="shared" si="6"/>
        <v>3</v>
      </c>
      <c r="D70" s="14" t="str">
        <f t="shared" si="5"/>
        <v>#Matete Nro 78
Bañadera de la risa
6 letras
#Juegodepalabras #adivinanzas #crucigramas</v>
      </c>
      <c r="E70" s="17"/>
      <c r="F70" s="17">
        <f t="shared" si="4"/>
        <v>87</v>
      </c>
      <c r="G70" s="6">
        <v>190581</v>
      </c>
      <c r="H70" s="1">
        <v>78</v>
      </c>
      <c r="I70" s="2" t="s">
        <v>275</v>
      </c>
      <c r="J70" s="2" t="s">
        <v>275</v>
      </c>
      <c r="K70" s="2" t="s">
        <v>276</v>
      </c>
      <c r="L70" s="2">
        <f t="shared" si="7"/>
        <v>6</v>
      </c>
      <c r="M70" s="2" t="s">
        <v>2</v>
      </c>
      <c r="N70" s="2" t="s">
        <v>3</v>
      </c>
      <c r="O70" s="1">
        <v>8</v>
      </c>
      <c r="P70" s="2"/>
      <c r="Q70" s="2"/>
      <c r="R70" s="2"/>
      <c r="S70" s="2" t="s">
        <v>277</v>
      </c>
      <c r="U70" s="2" t="s">
        <v>7</v>
      </c>
    </row>
    <row r="71" spans="2:21" ht="89.25" x14ac:dyDescent="0.25">
      <c r="B71" s="15">
        <f>+B70+3</f>
        <v>45226</v>
      </c>
      <c r="C71" s="13">
        <f t="shared" si="6"/>
        <v>6</v>
      </c>
      <c r="D71" s="14" t="str">
        <f t="shared" si="5"/>
        <v>#Matete Nro 306
Dar a pagar tres pesos con catorce centavos
6 letras
#Juegodepalabras #adivinanzas #crucigramas</v>
      </c>
      <c r="E71" s="17"/>
      <c r="F71" s="17">
        <f t="shared" si="4"/>
        <v>112</v>
      </c>
      <c r="G71" s="6">
        <v>194095</v>
      </c>
      <c r="H71" s="1">
        <v>306</v>
      </c>
      <c r="I71" s="2" t="s">
        <v>1015</v>
      </c>
      <c r="J71" s="2" t="s">
        <v>1015</v>
      </c>
      <c r="K71" s="2" t="s">
        <v>1016</v>
      </c>
      <c r="L71" s="2">
        <f t="shared" si="7"/>
        <v>6</v>
      </c>
      <c r="M71" s="2"/>
      <c r="N71" s="2" t="s">
        <v>3</v>
      </c>
      <c r="O71" s="1">
        <v>24</v>
      </c>
      <c r="P71" s="2"/>
      <c r="Q71" s="2"/>
      <c r="R71" s="2"/>
      <c r="S71" s="2" t="s">
        <v>1017</v>
      </c>
      <c r="U71" s="2" t="s">
        <v>740</v>
      </c>
    </row>
    <row r="72" spans="2:21" ht="89.25" x14ac:dyDescent="0.25">
      <c r="B72" s="15">
        <f>+B71+4</f>
        <v>45230</v>
      </c>
      <c r="C72" s="13">
        <f t="shared" si="6"/>
        <v>3</v>
      </c>
      <c r="D72" s="14" t="str">
        <f t="shared" si="5"/>
        <v>#Matete Nro 291
Lugar donde se besan los ex novios por última vez
7 letras
#Juegodepalabras #adivinanzas #crucigramas</v>
      </c>
      <c r="E72" s="17"/>
      <c r="F72" s="17">
        <f t="shared" si="4"/>
        <v>118</v>
      </c>
      <c r="G72" s="6">
        <v>195724</v>
      </c>
      <c r="H72" s="1">
        <v>291</v>
      </c>
      <c r="I72" s="2" t="s">
        <v>971</v>
      </c>
      <c r="J72" s="2" t="s">
        <v>971</v>
      </c>
      <c r="K72" s="2" t="s">
        <v>972</v>
      </c>
      <c r="L72" s="2">
        <f t="shared" si="7"/>
        <v>7</v>
      </c>
      <c r="M72" s="2"/>
      <c r="N72" s="2" t="s">
        <v>3</v>
      </c>
      <c r="O72" s="1">
        <v>22</v>
      </c>
      <c r="P72" s="2"/>
      <c r="Q72" s="2"/>
      <c r="R72" s="2"/>
      <c r="S72" s="2" t="s">
        <v>973</v>
      </c>
      <c r="U72" s="2" t="s">
        <v>740</v>
      </c>
    </row>
    <row r="73" spans="2:21" ht="76.5" x14ac:dyDescent="0.25">
      <c r="B73" s="15">
        <f>+B72+3</f>
        <v>45233</v>
      </c>
      <c r="C73" s="13">
        <f t="shared" si="6"/>
        <v>6</v>
      </c>
      <c r="D73" s="14" t="str">
        <f t="shared" si="5"/>
        <v>#Matete Nro 53
Realice una centena
7 letras
#Juegodepalabras #adivinanzas #crucigramas</v>
      </c>
      <c r="E73" s="17"/>
      <c r="F73" s="17">
        <f t="shared" si="4"/>
        <v>87</v>
      </c>
      <c r="G73" s="6">
        <v>197326</v>
      </c>
      <c r="H73" s="1">
        <v>53</v>
      </c>
      <c r="I73" s="2" t="s">
        <v>184</v>
      </c>
      <c r="J73" s="2" t="s">
        <v>188</v>
      </c>
      <c r="K73" s="2" t="s">
        <v>185</v>
      </c>
      <c r="L73" s="2">
        <f t="shared" si="7"/>
        <v>7</v>
      </c>
      <c r="M73" s="2" t="s">
        <v>2</v>
      </c>
      <c r="N73" s="2" t="s">
        <v>3</v>
      </c>
      <c r="O73" s="1">
        <v>5</v>
      </c>
      <c r="P73" s="2" t="s">
        <v>186</v>
      </c>
      <c r="Q73" s="2"/>
      <c r="R73" s="2"/>
      <c r="S73" s="2" t="s">
        <v>187</v>
      </c>
      <c r="U73" s="2" t="s">
        <v>7</v>
      </c>
    </row>
    <row r="74" spans="2:21" ht="89.25" x14ac:dyDescent="0.25">
      <c r="B74" s="15">
        <f>+B73+4</f>
        <v>45237</v>
      </c>
      <c r="C74" s="13">
        <f t="shared" si="6"/>
        <v>3</v>
      </c>
      <c r="D74" s="14" t="str">
        <f t="shared" si="5"/>
        <v>#Matete Nro 266
Pareja del mono que tiene forma de caja con candado
7 letras
#Juegodepalabras #adivinanzas #crucigramas</v>
      </c>
      <c r="E74" s="17"/>
      <c r="F74" s="17">
        <f t="shared" si="4"/>
        <v>120</v>
      </c>
      <c r="G74" s="6">
        <v>199281</v>
      </c>
      <c r="H74" s="1">
        <v>266</v>
      </c>
      <c r="I74" s="2" t="s">
        <v>891</v>
      </c>
      <c r="J74" s="2" t="s">
        <v>891</v>
      </c>
      <c r="K74" s="2" t="s">
        <v>892</v>
      </c>
      <c r="L74" s="2">
        <f t="shared" si="7"/>
        <v>7</v>
      </c>
      <c r="M74" s="2"/>
      <c r="N74" s="2" t="s">
        <v>76</v>
      </c>
      <c r="O74" s="1">
        <v>21</v>
      </c>
      <c r="P74" s="2"/>
      <c r="Q74" s="2"/>
      <c r="R74" s="2"/>
      <c r="S74" s="2" t="s">
        <v>893</v>
      </c>
      <c r="U74" s="2" t="s">
        <v>740</v>
      </c>
    </row>
    <row r="75" spans="2:21" ht="76.5" x14ac:dyDescent="0.25">
      <c r="B75" s="15">
        <f>+B74+3</f>
        <v>45240</v>
      </c>
      <c r="C75" s="13">
        <f t="shared" si="6"/>
        <v>6</v>
      </c>
      <c r="D75" s="14" t="str">
        <f t="shared" si="5"/>
        <v>#Matete Nro 704
Conjunción de unos y nacidos
10 letras
#Juegodepalabras #adivinanzas #crucigramas</v>
      </c>
      <c r="E75" s="17"/>
      <c r="F75" s="17">
        <f t="shared" si="4"/>
        <v>98</v>
      </c>
      <c r="G75" s="6">
        <v>199912</v>
      </c>
      <c r="H75" s="1">
        <v>704</v>
      </c>
      <c r="I75" s="2" t="s">
        <v>1669</v>
      </c>
      <c r="J75" s="2" t="s">
        <v>1559</v>
      </c>
      <c r="K75" s="2" t="s">
        <v>1670</v>
      </c>
      <c r="L75" s="2">
        <f t="shared" si="7"/>
        <v>10</v>
      </c>
      <c r="M75" s="2" t="s">
        <v>68</v>
      </c>
      <c r="N75" s="2" t="s">
        <v>83</v>
      </c>
      <c r="O75" s="1">
        <v>36</v>
      </c>
      <c r="P75" s="2"/>
      <c r="Q75" s="2"/>
      <c r="R75" s="2"/>
      <c r="S75" s="2" t="s">
        <v>1671</v>
      </c>
      <c r="U75" s="2" t="s">
        <v>1423</v>
      </c>
    </row>
    <row r="76" spans="2:21" ht="89.25" x14ac:dyDescent="0.25">
      <c r="B76" s="15">
        <f>+B75+4</f>
        <v>45244</v>
      </c>
      <c r="C76" s="13">
        <f t="shared" si="6"/>
        <v>3</v>
      </c>
      <c r="D76" s="14" t="str">
        <f t="shared" si="5"/>
        <v>#Matete Nro 726
Lo que ilumina antes del primer número natural
6 letras
#Juegodepalabras #adivinanzas #crucigramas</v>
      </c>
      <c r="E76" s="17"/>
      <c r="F76" s="17">
        <f t="shared" ref="F76:F139" si="8">LEN(D76)</f>
        <v>115</v>
      </c>
      <c r="G76" s="6">
        <v>202942</v>
      </c>
      <c r="H76" s="1">
        <v>726</v>
      </c>
      <c r="I76" s="2" t="s">
        <v>1697</v>
      </c>
      <c r="J76" s="2" t="s">
        <v>1697</v>
      </c>
      <c r="K76" s="2" t="s">
        <v>1698</v>
      </c>
      <c r="L76" s="2">
        <f t="shared" si="7"/>
        <v>6</v>
      </c>
      <c r="M76" s="2" t="s">
        <v>68</v>
      </c>
      <c r="N76" s="2" t="s">
        <v>76</v>
      </c>
      <c r="O76" s="1">
        <v>37</v>
      </c>
      <c r="P76" s="2"/>
      <c r="Q76" s="2"/>
      <c r="R76" s="2"/>
      <c r="S76" s="2" t="s">
        <v>1699</v>
      </c>
      <c r="U76" s="2" t="s">
        <v>1423</v>
      </c>
    </row>
    <row r="77" spans="2:21" ht="102" x14ac:dyDescent="0.25">
      <c r="B77" s="15">
        <f>+B76+3</f>
        <v>45247</v>
      </c>
      <c r="C77" s="13">
        <f t="shared" si="6"/>
        <v>6</v>
      </c>
      <c r="D77" s="14" t="str">
        <f t="shared" si="5"/>
        <v>#Matete Nro 544
Utilicé un centímetro cuando solo estaban las vocales e, i, o, u
8 letras
#Juegodepalabras #adivinanzas #crucigramas</v>
      </c>
      <c r="E77" s="17"/>
      <c r="F77" s="17">
        <f t="shared" si="8"/>
        <v>133</v>
      </c>
      <c r="G77" s="6">
        <v>203117</v>
      </c>
      <c r="H77" s="1">
        <v>544</v>
      </c>
      <c r="I77" s="2" t="s">
        <v>1442</v>
      </c>
      <c r="J77" s="2" t="s">
        <v>1442</v>
      </c>
      <c r="K77" s="2" t="s">
        <v>1443</v>
      </c>
      <c r="L77" s="2">
        <f t="shared" si="7"/>
        <v>8</v>
      </c>
      <c r="M77" s="2" t="s">
        <v>68</v>
      </c>
      <c r="N77" s="2" t="s">
        <v>1444</v>
      </c>
      <c r="O77" s="1">
        <v>34</v>
      </c>
      <c r="P77" s="2"/>
      <c r="Q77" s="2"/>
      <c r="R77" s="2"/>
      <c r="S77" s="2" t="s">
        <v>1445</v>
      </c>
      <c r="U77" s="2" t="s">
        <v>1423</v>
      </c>
    </row>
    <row r="78" spans="2:21" ht="76.5" x14ac:dyDescent="0.25">
      <c r="B78" s="15">
        <f>+B77+4</f>
        <v>45251</v>
      </c>
      <c r="C78" s="13">
        <f t="shared" si="6"/>
        <v>3</v>
      </c>
      <c r="D78" s="14" t="str">
        <f t="shared" si="5"/>
        <v>#Matete Nro 166
Percibió con los ojos sin prisa
8 letras
#Juegodepalabras #adivinanzas #crucigramas</v>
      </c>
      <c r="E78" s="17"/>
      <c r="F78" s="17">
        <f t="shared" si="8"/>
        <v>100</v>
      </c>
      <c r="G78" s="6">
        <v>213428</v>
      </c>
      <c r="H78" s="1">
        <v>166</v>
      </c>
      <c r="I78" s="2" t="s">
        <v>577</v>
      </c>
      <c r="J78" s="2" t="s">
        <v>577</v>
      </c>
      <c r="K78" s="2" t="s">
        <v>578</v>
      </c>
      <c r="L78" s="2">
        <f t="shared" si="7"/>
        <v>8</v>
      </c>
      <c r="M78" s="2" t="s">
        <v>349</v>
      </c>
      <c r="N78" s="2" t="s">
        <v>3</v>
      </c>
      <c r="O78" s="1">
        <v>15</v>
      </c>
      <c r="P78" s="2"/>
      <c r="Q78" s="2"/>
      <c r="R78" s="2"/>
      <c r="S78" s="2" t="s">
        <v>579</v>
      </c>
      <c r="U78" s="2" t="s">
        <v>7</v>
      </c>
    </row>
    <row r="79" spans="2:21" ht="89.25" x14ac:dyDescent="0.25">
      <c r="B79" s="15">
        <f>+B78+3</f>
        <v>45254</v>
      </c>
      <c r="C79" s="13">
        <f t="shared" si="6"/>
        <v>6</v>
      </c>
      <c r="D79" s="14" t="str">
        <f t="shared" ref="D79:D142" si="9">"#Matete Nro "&amp;H79&amp;CHAR(10)&amp;K79&amp;CHAR(10)&amp;L79&amp;" letras"&amp;CHAR(10)&amp;CHAR(10)&amp;"#Juegodepalabras #adivinanzas #crucigramas"</f>
        <v>#Matete Nro 646
Calzado alto que cubre los brazos
9 letras
#Juegodepalabras #adivinanzas #crucigramas</v>
      </c>
      <c r="E79" s="17"/>
      <c r="F79" s="17">
        <f t="shared" si="8"/>
        <v>102</v>
      </c>
      <c r="G79" s="6">
        <v>215516</v>
      </c>
      <c r="H79" s="1">
        <v>646</v>
      </c>
      <c r="I79" s="2" t="s">
        <v>1582</v>
      </c>
      <c r="J79" s="2" t="s">
        <v>1582</v>
      </c>
      <c r="K79" s="2" t="s">
        <v>1583</v>
      </c>
      <c r="L79" s="2">
        <f t="shared" si="7"/>
        <v>9</v>
      </c>
      <c r="M79" s="2"/>
      <c r="N79" s="2" t="s">
        <v>3</v>
      </c>
      <c r="O79" s="1">
        <v>35</v>
      </c>
      <c r="P79" s="2"/>
      <c r="Q79" s="2"/>
      <c r="R79" s="2"/>
      <c r="S79" s="2" t="s">
        <v>1584</v>
      </c>
      <c r="U79" s="2" t="s">
        <v>1423</v>
      </c>
    </row>
    <row r="80" spans="2:21" ht="89.25" x14ac:dyDescent="0.25">
      <c r="B80" s="15">
        <f>+B79+4</f>
        <v>45258</v>
      </c>
      <c r="C80" s="13">
        <f t="shared" si="6"/>
        <v>3</v>
      </c>
      <c r="D80" s="14" t="str">
        <f t="shared" si="9"/>
        <v>#Matete Nro 137
Idioma europeo que niega su país de origen
8 letras
#Juegodepalabras #adivinanzas #crucigramas</v>
      </c>
      <c r="E80" s="17"/>
      <c r="F80" s="17">
        <f t="shared" si="8"/>
        <v>111</v>
      </c>
      <c r="G80" s="6">
        <v>216240</v>
      </c>
      <c r="H80" s="1">
        <v>137</v>
      </c>
      <c r="I80" s="2" t="s">
        <v>482</v>
      </c>
      <c r="J80" s="2" t="s">
        <v>482</v>
      </c>
      <c r="K80" s="2" t="s">
        <v>483</v>
      </c>
      <c r="L80" s="2">
        <f t="shared" si="7"/>
        <v>8</v>
      </c>
      <c r="M80" s="2" t="s">
        <v>68</v>
      </c>
      <c r="N80" s="2" t="s">
        <v>3</v>
      </c>
      <c r="O80" s="1">
        <v>13</v>
      </c>
      <c r="P80" s="2"/>
      <c r="Q80" s="2"/>
      <c r="R80" s="2"/>
      <c r="S80" s="2" t="s">
        <v>484</v>
      </c>
      <c r="U80" s="2" t="s">
        <v>7</v>
      </c>
    </row>
    <row r="81" spans="2:21" ht="89.25" x14ac:dyDescent="0.25">
      <c r="B81" s="15">
        <f>+B80+3</f>
        <v>45261</v>
      </c>
      <c r="C81" s="13">
        <f t="shared" si="6"/>
        <v>6</v>
      </c>
      <c r="D81" s="14" t="str">
        <f t="shared" si="9"/>
        <v>#Matete Nro 566
Pareja del oso con sabor a hierbabuena
8 letras
#Juegodepalabras #adivinanzas #crucigramas</v>
      </c>
      <c r="E81" s="17"/>
      <c r="F81" s="17">
        <f t="shared" si="8"/>
        <v>107</v>
      </c>
      <c r="G81" s="6">
        <v>216845</v>
      </c>
      <c r="H81" s="1">
        <v>566</v>
      </c>
      <c r="I81" s="2" t="s">
        <v>1480</v>
      </c>
      <c r="J81" s="2" t="s">
        <v>1483</v>
      </c>
      <c r="K81" s="2" t="s">
        <v>1481</v>
      </c>
      <c r="L81" s="2">
        <f t="shared" si="7"/>
        <v>8</v>
      </c>
      <c r="M81" s="2" t="s">
        <v>68</v>
      </c>
      <c r="N81" s="2" t="s">
        <v>3</v>
      </c>
      <c r="O81" s="1">
        <v>34</v>
      </c>
      <c r="P81" s="2"/>
      <c r="Q81" s="2"/>
      <c r="R81" s="2"/>
      <c r="S81" s="2" t="s">
        <v>1482</v>
      </c>
      <c r="U81" s="2" t="s">
        <v>1423</v>
      </c>
    </row>
    <row r="82" spans="2:21" ht="89.25" x14ac:dyDescent="0.25">
      <c r="B82" s="15">
        <f>+B81+4</f>
        <v>45265</v>
      </c>
      <c r="C82" s="13">
        <f t="shared" si="6"/>
        <v>3</v>
      </c>
      <c r="D82" s="14" t="str">
        <f t="shared" si="9"/>
        <v>#Matete Nro 68
Multiplica asevera niega y tiene un chancho
7 letras
#Juegodepalabras #adivinanzas #crucigramas</v>
      </c>
      <c r="E82" s="17"/>
      <c r="F82" s="17">
        <f t="shared" si="8"/>
        <v>111</v>
      </c>
      <c r="G82" s="6">
        <v>216977</v>
      </c>
      <c r="H82" s="1">
        <v>68</v>
      </c>
      <c r="I82" s="2" t="s">
        <v>239</v>
      </c>
      <c r="J82" s="2" t="s">
        <v>239</v>
      </c>
      <c r="K82" s="2" t="s">
        <v>240</v>
      </c>
      <c r="L82" s="2">
        <f t="shared" si="7"/>
        <v>7</v>
      </c>
      <c r="M82" s="2" t="s">
        <v>39</v>
      </c>
      <c r="N82" s="2" t="s">
        <v>83</v>
      </c>
      <c r="O82" s="1">
        <v>7</v>
      </c>
      <c r="P82" s="2"/>
      <c r="Q82" s="2"/>
      <c r="R82" s="2"/>
      <c r="S82" s="2" t="s">
        <v>241</v>
      </c>
      <c r="U82" s="2" t="s">
        <v>7</v>
      </c>
    </row>
    <row r="83" spans="2:21" ht="76.5" x14ac:dyDescent="0.25">
      <c r="B83" s="15">
        <f>+B82+3</f>
        <v>45268</v>
      </c>
      <c r="C83" s="13">
        <f t="shared" si="6"/>
        <v>6</v>
      </c>
      <c r="D83" s="14" t="str">
        <f t="shared" si="9"/>
        <v>#Matete Nro 279
Árbitro anterior al RE
8 letras
#Juegodepalabras #adivinanzas #crucigramas</v>
      </c>
      <c r="E83" s="17"/>
      <c r="F83" s="17">
        <f t="shared" si="8"/>
        <v>91</v>
      </c>
      <c r="G83" s="6">
        <v>220342</v>
      </c>
      <c r="H83" s="1">
        <v>279</v>
      </c>
      <c r="I83" s="2" t="s">
        <v>933</v>
      </c>
      <c r="J83" s="2" t="s">
        <v>936</v>
      </c>
      <c r="K83" s="2" t="s">
        <v>934</v>
      </c>
      <c r="L83" s="2">
        <f t="shared" si="7"/>
        <v>8</v>
      </c>
      <c r="M83" s="2"/>
      <c r="N83" s="2" t="s">
        <v>3</v>
      </c>
      <c r="O83" s="1">
        <v>22</v>
      </c>
      <c r="P83" s="2"/>
      <c r="Q83" s="2"/>
      <c r="R83" s="2"/>
      <c r="S83" s="2" t="s">
        <v>935</v>
      </c>
      <c r="U83" s="2" t="s">
        <v>740</v>
      </c>
    </row>
    <row r="84" spans="2:21" ht="76.5" x14ac:dyDescent="0.25">
      <c r="B84" s="15">
        <f>+B83+4</f>
        <v>45272</v>
      </c>
      <c r="C84" s="13">
        <f t="shared" si="6"/>
        <v>3</v>
      </c>
      <c r="D84" s="14" t="str">
        <f t="shared" si="9"/>
        <v>#Matete Nro 313
Siquiera tiene mis años
8 letras
#Juegodepalabras #adivinanzas #crucigramas</v>
      </c>
      <c r="E84" s="17"/>
      <c r="F84" s="17">
        <f t="shared" si="8"/>
        <v>92</v>
      </c>
      <c r="G84" s="6">
        <v>221252</v>
      </c>
      <c r="H84" s="1">
        <v>313</v>
      </c>
      <c r="I84" s="2" t="s">
        <v>1035</v>
      </c>
      <c r="J84" s="2" t="s">
        <v>1035</v>
      </c>
      <c r="K84" s="2" t="s">
        <v>1036</v>
      </c>
      <c r="L84" s="2">
        <f t="shared" si="7"/>
        <v>8</v>
      </c>
      <c r="M84" s="2" t="s">
        <v>349</v>
      </c>
      <c r="N84" s="2" t="s">
        <v>83</v>
      </c>
      <c r="O84" s="1">
        <v>25</v>
      </c>
      <c r="P84" s="2"/>
      <c r="Q84" s="2"/>
      <c r="R84" s="2"/>
      <c r="S84" s="2" t="s">
        <v>1037</v>
      </c>
      <c r="U84" s="2" t="s">
        <v>740</v>
      </c>
    </row>
    <row r="85" spans="2:21" ht="76.5" x14ac:dyDescent="0.25">
      <c r="B85" s="15">
        <f>+B84+3</f>
        <v>45275</v>
      </c>
      <c r="C85" s="13">
        <f t="shared" si="6"/>
        <v>6</v>
      </c>
      <c r="D85" s="14" t="str">
        <f t="shared" si="9"/>
        <v>#Matete Nro 143
Auto inglés zancudo
7 letras
#Juegodepalabras #adivinanzas #crucigramas</v>
      </c>
      <c r="E85" s="17"/>
      <c r="F85" s="17">
        <f t="shared" si="8"/>
        <v>88</v>
      </c>
      <c r="G85" s="6">
        <v>223447</v>
      </c>
      <c r="H85" s="1">
        <v>143</v>
      </c>
      <c r="I85" s="2" t="s">
        <v>505</v>
      </c>
      <c r="J85" s="2" t="s">
        <v>505</v>
      </c>
      <c r="K85" s="2" t="s">
        <v>506</v>
      </c>
      <c r="L85" s="2">
        <f t="shared" si="7"/>
        <v>7</v>
      </c>
      <c r="M85" s="2"/>
      <c r="N85" s="2" t="s">
        <v>195</v>
      </c>
      <c r="O85" s="1">
        <v>14</v>
      </c>
      <c r="P85" s="2"/>
      <c r="Q85" s="2"/>
      <c r="R85" s="2"/>
      <c r="S85" s="2" t="s">
        <v>507</v>
      </c>
      <c r="U85" s="2" t="s">
        <v>7</v>
      </c>
    </row>
    <row r="86" spans="2:21" ht="89.25" x14ac:dyDescent="0.25">
      <c r="B86" s="15">
        <f>+B85+4</f>
        <v>45279</v>
      </c>
      <c r="C86" s="13">
        <f t="shared" si="6"/>
        <v>3</v>
      </c>
      <c r="D86" s="14" t="str">
        <f t="shared" si="9"/>
        <v>#Matete Nro 474
Traducción spanglish de auto verdadero
6 letras
#Juegodepalabras #adivinanzas #crucigramas</v>
      </c>
      <c r="E86" s="17"/>
      <c r="F86" s="17">
        <f t="shared" si="8"/>
        <v>107</v>
      </c>
      <c r="G86" s="6">
        <v>225531</v>
      </c>
      <c r="H86" s="1">
        <v>474</v>
      </c>
      <c r="I86" s="2" t="s">
        <v>1343</v>
      </c>
      <c r="J86" s="2" t="s">
        <v>1343</v>
      </c>
      <c r="K86" s="2" t="s">
        <v>1344</v>
      </c>
      <c r="L86" s="2">
        <f t="shared" si="7"/>
        <v>6</v>
      </c>
      <c r="M86" s="2"/>
      <c r="N86" s="2" t="s">
        <v>195</v>
      </c>
      <c r="O86" s="1">
        <v>32</v>
      </c>
      <c r="P86" s="2"/>
      <c r="Q86" s="2"/>
      <c r="R86" s="2"/>
      <c r="S86" s="2" t="s">
        <v>1345</v>
      </c>
      <c r="U86" s="2" t="s">
        <v>740</v>
      </c>
    </row>
    <row r="87" spans="2:21" ht="89.25" x14ac:dyDescent="0.25">
      <c r="B87" s="15">
        <f>+B86+3</f>
        <v>45282</v>
      </c>
      <c r="C87" s="13">
        <f t="shared" si="6"/>
        <v>6</v>
      </c>
      <c r="D87" s="14" t="str">
        <f t="shared" si="9"/>
        <v>#Matete Nro 69
Enciende nuevamente para amonestar
8 letras
#Juegodepalabras #adivinanzas #crucigramas</v>
      </c>
      <c r="E87" s="17"/>
      <c r="F87" s="17">
        <f t="shared" si="8"/>
        <v>102</v>
      </c>
      <c r="G87" s="6">
        <v>229579</v>
      </c>
      <c r="H87" s="1">
        <v>69</v>
      </c>
      <c r="I87" s="2" t="s">
        <v>242</v>
      </c>
      <c r="J87" s="2" t="s">
        <v>245</v>
      </c>
      <c r="K87" s="2" t="s">
        <v>243</v>
      </c>
      <c r="L87" s="2">
        <f t="shared" si="7"/>
        <v>8</v>
      </c>
      <c r="M87" s="2" t="s">
        <v>39</v>
      </c>
      <c r="N87" s="2" t="s">
        <v>3</v>
      </c>
      <c r="O87" s="1">
        <v>7</v>
      </c>
      <c r="P87" s="2"/>
      <c r="Q87" s="2"/>
      <c r="R87" s="2"/>
      <c r="S87" s="2" t="s">
        <v>244</v>
      </c>
      <c r="U87" s="2" t="s">
        <v>7</v>
      </c>
    </row>
    <row r="88" spans="2:21" ht="89.25" x14ac:dyDescent="0.25">
      <c r="B88" s="15">
        <f>+B87+4</f>
        <v>45286</v>
      </c>
      <c r="C88" s="13">
        <f t="shared" si="6"/>
        <v>3</v>
      </c>
      <c r="D88" s="14" t="str">
        <f t="shared" si="9"/>
        <v>#Matete Nro 97
Opuesto a las plantas que dan uvas
10 letras
#Juegodepalabras #adivinanzas #crucigramas</v>
      </c>
      <c r="E88" s="17"/>
      <c r="F88" s="17">
        <f t="shared" si="8"/>
        <v>103</v>
      </c>
      <c r="G88" s="6">
        <v>229604</v>
      </c>
      <c r="H88" s="1">
        <v>97</v>
      </c>
      <c r="I88" s="2" t="s">
        <v>343</v>
      </c>
      <c r="J88" s="2" t="s">
        <v>343</v>
      </c>
      <c r="K88" s="2" t="s">
        <v>344</v>
      </c>
      <c r="L88" s="2">
        <f t="shared" si="7"/>
        <v>10</v>
      </c>
      <c r="M88" s="2"/>
      <c r="N88" s="2" t="s">
        <v>3</v>
      </c>
      <c r="O88" s="1">
        <v>10</v>
      </c>
      <c r="P88" s="2" t="s">
        <v>345</v>
      </c>
      <c r="Q88" s="2"/>
      <c r="R88" s="2"/>
      <c r="S88" s="2" t="s">
        <v>346</v>
      </c>
      <c r="U88" s="2" t="s">
        <v>7</v>
      </c>
    </row>
    <row r="89" spans="2:21" ht="89.25" x14ac:dyDescent="0.25">
      <c r="B89" s="15">
        <f>+B88+3</f>
        <v>45289</v>
      </c>
      <c r="C89" s="13">
        <f t="shared" si="6"/>
        <v>6</v>
      </c>
      <c r="D89" s="14" t="str">
        <f t="shared" si="9"/>
        <v>#Matete Nro 287
Modo de indicar que un objeto se puede cortar
9 letras
#Juegodepalabras #adivinanzas #crucigramas</v>
      </c>
      <c r="E89" s="17"/>
      <c r="F89" s="17">
        <f t="shared" si="8"/>
        <v>114</v>
      </c>
      <c r="G89" s="6">
        <v>238865</v>
      </c>
      <c r="H89" s="1">
        <v>287</v>
      </c>
      <c r="I89" s="2" t="s">
        <v>956</v>
      </c>
      <c r="J89" s="2" t="s">
        <v>959</v>
      </c>
      <c r="K89" s="2" t="s">
        <v>957</v>
      </c>
      <c r="L89" s="2">
        <f t="shared" si="7"/>
        <v>9</v>
      </c>
      <c r="M89" s="2" t="s">
        <v>349</v>
      </c>
      <c r="N89" s="2" t="s">
        <v>3</v>
      </c>
      <c r="O89" s="1">
        <v>22</v>
      </c>
      <c r="P89" s="2"/>
      <c r="Q89" s="2"/>
      <c r="R89" s="2"/>
      <c r="S89" s="2" t="s">
        <v>958</v>
      </c>
      <c r="U89" s="2" t="s">
        <v>740</v>
      </c>
    </row>
    <row r="90" spans="2:21" ht="76.5" x14ac:dyDescent="0.25">
      <c r="B90" s="15">
        <f>+B89+4</f>
        <v>45293</v>
      </c>
      <c r="C90" s="13">
        <f t="shared" si="6"/>
        <v>3</v>
      </c>
      <c r="D90" s="14" t="str">
        <f t="shared" si="9"/>
        <v>#Matete Nro 360
Reina de la seriedad
7 letras
#Juegodepalabras #adivinanzas #crucigramas</v>
      </c>
      <c r="E90" s="17"/>
      <c r="F90" s="17">
        <f t="shared" si="8"/>
        <v>89</v>
      </c>
      <c r="G90" s="6">
        <v>242392</v>
      </c>
      <c r="H90" s="1">
        <v>360</v>
      </c>
      <c r="I90" s="2" t="s">
        <v>1152</v>
      </c>
      <c r="J90" s="2" t="s">
        <v>1152</v>
      </c>
      <c r="K90" s="2" t="s">
        <v>1153</v>
      </c>
      <c r="L90" s="2">
        <f t="shared" si="7"/>
        <v>7</v>
      </c>
      <c r="M90" s="2"/>
      <c r="N90" s="2"/>
      <c r="O90" s="1">
        <v>29</v>
      </c>
      <c r="P90" s="2"/>
      <c r="Q90" s="2"/>
      <c r="R90" s="2"/>
      <c r="S90" s="2" t="s">
        <v>1154</v>
      </c>
      <c r="U90" s="2" t="s">
        <v>740</v>
      </c>
    </row>
    <row r="91" spans="2:21" ht="76.5" x14ac:dyDescent="0.25">
      <c r="B91" s="12"/>
      <c r="C91" s="13" t="str">
        <f t="shared" si="6"/>
        <v>x</v>
      </c>
      <c r="D91" s="14" t="str">
        <f t="shared" si="9"/>
        <v>#Matete Nro 321
Ingresen a una dupla
10 letras
#Juegodepalabras #adivinanzas #crucigramas</v>
      </c>
      <c r="E91" s="17"/>
      <c r="F91" s="17">
        <f t="shared" si="8"/>
        <v>90</v>
      </c>
      <c r="G91" s="6">
        <v>242696</v>
      </c>
      <c r="H91" s="1">
        <v>321</v>
      </c>
      <c r="I91" s="2" t="s">
        <v>1063</v>
      </c>
      <c r="J91" s="2" t="s">
        <v>1066</v>
      </c>
      <c r="K91" s="2" t="s">
        <v>1064</v>
      </c>
      <c r="L91" s="2">
        <f t="shared" si="7"/>
        <v>10</v>
      </c>
      <c r="M91" s="2"/>
      <c r="N91" s="2" t="s">
        <v>83</v>
      </c>
      <c r="O91" s="1">
        <v>26</v>
      </c>
      <c r="P91" s="2"/>
      <c r="Q91" s="2"/>
      <c r="R91" s="2"/>
      <c r="S91" s="2" t="s">
        <v>1065</v>
      </c>
      <c r="U91" s="2" t="s">
        <v>740</v>
      </c>
    </row>
    <row r="92" spans="2:21" ht="76.5" x14ac:dyDescent="0.25">
      <c r="B92" s="12"/>
      <c r="C92" s="13" t="str">
        <f t="shared" si="6"/>
        <v>x</v>
      </c>
      <c r="D92" s="14" t="str">
        <f t="shared" si="9"/>
        <v>#Matete Nro 89
Acércate animal zancudo
8 letras
#Juegodepalabras #adivinanzas #crucigramas</v>
      </c>
      <c r="E92" s="17"/>
      <c r="F92" s="17">
        <f t="shared" si="8"/>
        <v>91</v>
      </c>
      <c r="G92" s="6">
        <v>246140</v>
      </c>
      <c r="H92" s="1">
        <v>89</v>
      </c>
      <c r="I92" s="2" t="s">
        <v>314</v>
      </c>
      <c r="J92" s="2" t="s">
        <v>314</v>
      </c>
      <c r="K92" s="2" t="s">
        <v>315</v>
      </c>
      <c r="L92" s="2">
        <f t="shared" si="7"/>
        <v>8</v>
      </c>
      <c r="M92" s="2"/>
      <c r="N92" s="2" t="s">
        <v>3</v>
      </c>
      <c r="O92" s="1">
        <v>9</v>
      </c>
      <c r="P92" s="2"/>
      <c r="Q92" s="2"/>
      <c r="R92" s="2"/>
      <c r="S92" s="2" t="s">
        <v>316</v>
      </c>
      <c r="U92" s="2" t="s">
        <v>7</v>
      </c>
    </row>
    <row r="93" spans="2:21" ht="89.25" x14ac:dyDescent="0.25">
      <c r="B93" s="12"/>
      <c r="C93" s="13" t="str">
        <f t="shared" si="6"/>
        <v>x</v>
      </c>
      <c r="D93" s="14" t="str">
        <f t="shared" si="9"/>
        <v>#Matete Nro 134
Hacer que la primera vocal no esté apagada
8 letras
#Juegodepalabras #adivinanzas #crucigramas</v>
      </c>
      <c r="E93" s="17"/>
      <c r="F93" s="17">
        <f t="shared" si="8"/>
        <v>111</v>
      </c>
      <c r="G93" s="6">
        <v>246401</v>
      </c>
      <c r="H93" s="1">
        <v>134</v>
      </c>
      <c r="I93" s="2" t="s">
        <v>476</v>
      </c>
      <c r="J93" s="2" t="s">
        <v>476</v>
      </c>
      <c r="K93" s="2" t="s">
        <v>477</v>
      </c>
      <c r="L93" s="2">
        <f t="shared" si="7"/>
        <v>8</v>
      </c>
      <c r="M93" s="2" t="s">
        <v>360</v>
      </c>
      <c r="N93" s="2" t="s">
        <v>3</v>
      </c>
      <c r="O93" s="1">
        <v>13</v>
      </c>
      <c r="P93" s="2"/>
      <c r="Q93" s="2"/>
      <c r="R93" s="2"/>
      <c r="S93" s="2" t="s">
        <v>478</v>
      </c>
      <c r="U93" s="2" t="s">
        <v>7</v>
      </c>
    </row>
    <row r="94" spans="2:21" ht="89.25" x14ac:dyDescent="0.25">
      <c r="B94" s="12"/>
      <c r="C94" s="13" t="str">
        <f t="shared" si="6"/>
        <v>x</v>
      </c>
      <c r="D94" s="14" t="str">
        <f t="shared" si="9"/>
        <v>#Matete Nro 562
Onomatopeya del golpe del emperador ruso
6 letras
#Juegodepalabras #adivinanzas #crucigramas</v>
      </c>
      <c r="E94" s="17"/>
      <c r="F94" s="17">
        <f t="shared" si="8"/>
        <v>109</v>
      </c>
      <c r="G94" s="6">
        <v>249540</v>
      </c>
      <c r="H94" s="1">
        <v>562</v>
      </c>
      <c r="I94" s="2" t="s">
        <v>1473</v>
      </c>
      <c r="J94" s="2" t="s">
        <v>1473</v>
      </c>
      <c r="K94" s="2" t="s">
        <v>1474</v>
      </c>
      <c r="L94" s="2">
        <f t="shared" si="7"/>
        <v>6</v>
      </c>
      <c r="M94" s="2" t="s">
        <v>68</v>
      </c>
      <c r="N94" s="2" t="s">
        <v>3</v>
      </c>
      <c r="O94" s="1">
        <v>34</v>
      </c>
      <c r="P94" s="2"/>
      <c r="Q94" s="2"/>
      <c r="R94" s="2"/>
      <c r="S94" s="2" t="s">
        <v>1475</v>
      </c>
      <c r="U94" s="2" t="s">
        <v>1423</v>
      </c>
    </row>
    <row r="95" spans="2:21" ht="76.5" x14ac:dyDescent="0.25">
      <c r="B95" s="12"/>
      <c r="C95" s="13" t="str">
        <f t="shared" si="6"/>
        <v>x</v>
      </c>
      <c r="D95" s="14" t="str">
        <f t="shared" si="9"/>
        <v>#Matete Nro 39
Asustar tres veces
5 letras
#Juegodepalabras #adivinanzas #crucigramas</v>
      </c>
      <c r="E95" s="17"/>
      <c r="F95" s="17">
        <f t="shared" si="8"/>
        <v>86</v>
      </c>
      <c r="G95" s="6">
        <v>253678</v>
      </c>
      <c r="H95" s="1">
        <v>39</v>
      </c>
      <c r="I95" s="2" t="s">
        <v>141</v>
      </c>
      <c r="J95" s="2" t="s">
        <v>141</v>
      </c>
      <c r="K95" s="2" t="s">
        <v>142</v>
      </c>
      <c r="L95" s="2">
        <f t="shared" si="7"/>
        <v>5</v>
      </c>
      <c r="M95" s="2" t="s">
        <v>39</v>
      </c>
      <c r="N95" s="2" t="s">
        <v>3</v>
      </c>
      <c r="O95" s="1">
        <v>4</v>
      </c>
      <c r="P95" s="2"/>
      <c r="Q95" s="2"/>
      <c r="R95" s="2"/>
      <c r="S95" s="2" t="s">
        <v>143</v>
      </c>
      <c r="U95" s="2" t="s">
        <v>7</v>
      </c>
    </row>
    <row r="96" spans="2:21" ht="76.5" x14ac:dyDescent="0.25">
      <c r="B96" s="12"/>
      <c r="C96" s="13" t="str">
        <f t="shared" si="6"/>
        <v>x</v>
      </c>
      <c r="D96" s="14" t="str">
        <f t="shared" si="9"/>
        <v>#Matete Nro 231
Creencia de verano
8 letras
#Juegodepalabras #adivinanzas #crucigramas</v>
      </c>
      <c r="E96" s="17"/>
      <c r="F96" s="17">
        <f t="shared" si="8"/>
        <v>87</v>
      </c>
      <c r="G96" s="6">
        <v>254728</v>
      </c>
      <c r="H96" s="1">
        <v>231</v>
      </c>
      <c r="I96" s="2" t="s">
        <v>788</v>
      </c>
      <c r="J96" s="2" t="s">
        <v>788</v>
      </c>
      <c r="K96" s="2" t="s">
        <v>789</v>
      </c>
      <c r="L96" s="2">
        <f t="shared" si="7"/>
        <v>8</v>
      </c>
      <c r="M96" s="2" t="s">
        <v>349</v>
      </c>
      <c r="N96" s="2" t="s">
        <v>76</v>
      </c>
      <c r="O96" s="1">
        <v>18</v>
      </c>
      <c r="P96" s="2"/>
      <c r="Q96" s="2"/>
      <c r="R96" s="2"/>
      <c r="S96" s="2" t="s">
        <v>790</v>
      </c>
      <c r="U96" s="2" t="s">
        <v>740</v>
      </c>
    </row>
    <row r="97" spans="2:21" ht="102" x14ac:dyDescent="0.25">
      <c r="B97" s="12"/>
      <c r="C97" s="13" t="str">
        <f t="shared" si="6"/>
        <v>x</v>
      </c>
      <c r="D97" s="14" t="str">
        <f t="shared" si="9"/>
        <v>#Matete Nro 346
Recintos para competencias deportivas que indican la presencia del Todopoderoso
8 letras
#Juegodepalabras #adivinanzas #crucigramas</v>
      </c>
      <c r="E97" s="17"/>
      <c r="F97" s="17">
        <f t="shared" si="8"/>
        <v>148</v>
      </c>
      <c r="G97" s="6">
        <v>255158</v>
      </c>
      <c r="H97" s="1">
        <v>346</v>
      </c>
      <c r="I97" s="2" t="s">
        <v>1129</v>
      </c>
      <c r="J97" s="2" t="s">
        <v>1132</v>
      </c>
      <c r="K97" s="2" t="s">
        <v>1130</v>
      </c>
      <c r="L97" s="2">
        <f t="shared" si="7"/>
        <v>8</v>
      </c>
      <c r="M97" s="2"/>
      <c r="N97" s="2" t="s">
        <v>3</v>
      </c>
      <c r="O97" s="1">
        <v>29</v>
      </c>
      <c r="P97" s="2"/>
      <c r="Q97" s="2"/>
      <c r="R97" s="2"/>
      <c r="S97" s="2" t="s">
        <v>1131</v>
      </c>
      <c r="U97" s="2" t="s">
        <v>740</v>
      </c>
    </row>
    <row r="98" spans="2:21" ht="89.25" x14ac:dyDescent="0.25">
      <c r="B98" s="12"/>
      <c r="C98" s="13" t="str">
        <f t="shared" si="6"/>
        <v>x</v>
      </c>
      <c r="D98" s="14" t="str">
        <f t="shared" si="9"/>
        <v>#Matete Nro 159
Extensión de agua salada de un pronombre para preguntar
7 letras
#Juegodepalabras #adivinanzas #crucigramas</v>
      </c>
      <c r="E98" s="17"/>
      <c r="F98" s="17">
        <f t="shared" si="8"/>
        <v>124</v>
      </c>
      <c r="G98" s="6">
        <v>256140</v>
      </c>
      <c r="H98" s="1">
        <v>159</v>
      </c>
      <c r="I98" s="2" t="s">
        <v>555</v>
      </c>
      <c r="J98" s="2" t="s">
        <v>558</v>
      </c>
      <c r="K98" s="2" t="s">
        <v>556</v>
      </c>
      <c r="L98" s="2">
        <f t="shared" si="7"/>
        <v>7</v>
      </c>
      <c r="M98" s="2" t="s">
        <v>349</v>
      </c>
      <c r="N98" s="2" t="s">
        <v>3</v>
      </c>
      <c r="O98" s="1">
        <v>14</v>
      </c>
      <c r="P98" s="2"/>
      <c r="Q98" s="2"/>
      <c r="R98" s="2"/>
      <c r="S98" s="2" t="s">
        <v>557</v>
      </c>
      <c r="U98" s="2" t="s">
        <v>7</v>
      </c>
    </row>
    <row r="99" spans="2:21" ht="89.25" x14ac:dyDescent="0.25">
      <c r="B99" s="12"/>
      <c r="C99" s="13" t="str">
        <f t="shared" si="6"/>
        <v>x</v>
      </c>
      <c r="D99" s="14" t="str">
        <f t="shared" si="9"/>
        <v>#Matete Nro 255
Q que ya no disfruta haciendo sufrir al masoquista
8 letras
#Juegodepalabras #adivinanzas #crucigramas</v>
      </c>
      <c r="E99" s="17"/>
      <c r="F99" s="17">
        <f t="shared" si="8"/>
        <v>119</v>
      </c>
      <c r="G99" s="6">
        <v>257692</v>
      </c>
      <c r="H99" s="1">
        <v>255</v>
      </c>
      <c r="I99" s="2" t="s">
        <v>853</v>
      </c>
      <c r="J99" s="2" t="s">
        <v>853</v>
      </c>
      <c r="K99" s="2" t="s">
        <v>854</v>
      </c>
      <c r="L99" s="2">
        <f t="shared" si="7"/>
        <v>8</v>
      </c>
      <c r="M99" s="2"/>
      <c r="N99" s="2" t="s">
        <v>83</v>
      </c>
      <c r="O99" s="1">
        <v>20</v>
      </c>
      <c r="P99" s="2"/>
      <c r="Q99" s="2"/>
      <c r="R99" s="2"/>
      <c r="S99" s="2" t="s">
        <v>855</v>
      </c>
      <c r="U99" s="2" t="s">
        <v>740</v>
      </c>
    </row>
    <row r="100" spans="2:21" ht="76.5" x14ac:dyDescent="0.25">
      <c r="B100" s="12"/>
      <c r="C100" s="13" t="str">
        <f t="shared" si="6"/>
        <v>x</v>
      </c>
      <c r="D100" s="14" t="str">
        <f t="shared" si="9"/>
        <v>#Matete Nro 160
Barullo de Batman
9 letras
#Juegodepalabras #adivinanzas #crucigramas</v>
      </c>
      <c r="E100" s="17"/>
      <c r="F100" s="17">
        <f t="shared" si="8"/>
        <v>86</v>
      </c>
      <c r="G100" s="6">
        <v>258537</v>
      </c>
      <c r="H100" s="1">
        <v>160</v>
      </c>
      <c r="I100" s="2" t="s">
        <v>559</v>
      </c>
      <c r="J100" s="2" t="s">
        <v>559</v>
      </c>
      <c r="K100" s="2" t="s">
        <v>560</v>
      </c>
      <c r="L100" s="2">
        <f t="shared" si="7"/>
        <v>9</v>
      </c>
      <c r="M100" s="2"/>
      <c r="N100" s="2" t="s">
        <v>3</v>
      </c>
      <c r="O100" s="1">
        <v>14</v>
      </c>
      <c r="P100" s="2"/>
      <c r="Q100" s="2"/>
      <c r="R100" s="2"/>
      <c r="S100" s="2" t="s">
        <v>561</v>
      </c>
      <c r="U100" s="2" t="s">
        <v>7</v>
      </c>
    </row>
    <row r="101" spans="2:21" ht="89.25" x14ac:dyDescent="0.25">
      <c r="B101" s="12"/>
      <c r="C101" s="13" t="str">
        <f t="shared" si="6"/>
        <v>x</v>
      </c>
      <c r="D101" s="14" t="str">
        <f t="shared" si="9"/>
        <v>#Matete Nro 218
Grupo de cantantes que forman un país
10 letras
#Juegodepalabras #adivinanzas #crucigramas</v>
      </c>
      <c r="E101" s="17"/>
      <c r="F101" s="17">
        <f t="shared" si="8"/>
        <v>107</v>
      </c>
      <c r="G101" s="6">
        <v>262757</v>
      </c>
      <c r="H101" s="1">
        <v>218</v>
      </c>
      <c r="I101" s="2" t="s">
        <v>741</v>
      </c>
      <c r="J101" s="2" t="s">
        <v>744</v>
      </c>
      <c r="K101" s="2" t="s">
        <v>742</v>
      </c>
      <c r="L101" s="2">
        <f t="shared" si="7"/>
        <v>10</v>
      </c>
      <c r="M101" s="2" t="s">
        <v>349</v>
      </c>
      <c r="N101" s="2" t="s">
        <v>3</v>
      </c>
      <c r="O101" s="1">
        <v>18</v>
      </c>
      <c r="P101" s="2"/>
      <c r="Q101" s="2"/>
      <c r="R101" s="2"/>
      <c r="S101" s="2" t="s">
        <v>743</v>
      </c>
      <c r="U101" s="2" t="s">
        <v>740</v>
      </c>
    </row>
    <row r="102" spans="2:21" ht="89.25" x14ac:dyDescent="0.25">
      <c r="B102" s="12"/>
      <c r="C102" s="13" t="str">
        <f t="shared" si="6"/>
        <v>x</v>
      </c>
      <c r="D102" s="14" t="str">
        <f t="shared" si="9"/>
        <v>#Matete Nro 163
Al perro le doy un para en inglés
8 letras
#Juegodepalabras #adivinanzas #crucigramas</v>
      </c>
      <c r="E102" s="17"/>
      <c r="F102" s="17">
        <f t="shared" si="8"/>
        <v>102</v>
      </c>
      <c r="G102" s="6">
        <v>265413</v>
      </c>
      <c r="H102" s="1">
        <v>163</v>
      </c>
      <c r="I102" s="2" t="s">
        <v>571</v>
      </c>
      <c r="J102" s="2" t="s">
        <v>571</v>
      </c>
      <c r="K102" s="2" t="s">
        <v>572</v>
      </c>
      <c r="L102" s="2">
        <f t="shared" si="7"/>
        <v>8</v>
      </c>
      <c r="M102" s="2"/>
      <c r="N102" s="2" t="s">
        <v>195</v>
      </c>
      <c r="O102" s="1">
        <v>15</v>
      </c>
      <c r="P102" s="2"/>
      <c r="Q102" s="2"/>
      <c r="R102" s="2"/>
      <c r="S102" s="2" t="s">
        <v>573</v>
      </c>
      <c r="U102" s="2" t="s">
        <v>7</v>
      </c>
    </row>
    <row r="103" spans="2:21" ht="102" x14ac:dyDescent="0.25">
      <c r="B103" s="12"/>
      <c r="C103" s="13" t="str">
        <f t="shared" si="6"/>
        <v>x</v>
      </c>
      <c r="D103" s="14" t="str">
        <f t="shared" si="9"/>
        <v>#Matete Nro 268
Entrega ganas de comer confiando recibir el pago en el futuro
7 letras
#Juegodepalabras #adivinanzas #crucigramas</v>
      </c>
      <c r="E103" s="17"/>
      <c r="F103" s="17">
        <f t="shared" si="8"/>
        <v>130</v>
      </c>
      <c r="G103" s="6">
        <v>268289</v>
      </c>
      <c r="H103" s="1">
        <v>268</v>
      </c>
      <c r="I103" s="2" t="s">
        <v>897</v>
      </c>
      <c r="J103" s="2" t="s">
        <v>897</v>
      </c>
      <c r="K103" s="2" t="s">
        <v>898</v>
      </c>
      <c r="L103" s="2">
        <f t="shared" si="7"/>
        <v>7</v>
      </c>
      <c r="M103" s="2"/>
      <c r="N103" s="2" t="s">
        <v>76</v>
      </c>
      <c r="O103" s="1">
        <v>21</v>
      </c>
      <c r="P103" s="2"/>
      <c r="Q103" s="2"/>
      <c r="R103" s="2"/>
      <c r="S103" s="2" t="s">
        <v>899</v>
      </c>
      <c r="U103" s="2" t="s">
        <v>740</v>
      </c>
    </row>
    <row r="104" spans="2:21" ht="76.5" x14ac:dyDescent="0.25">
      <c r="B104" s="12"/>
      <c r="C104" s="13" t="str">
        <f t="shared" si="6"/>
        <v>x</v>
      </c>
      <c r="D104" s="14" t="str">
        <f t="shared" si="9"/>
        <v>#Matete Nro 57
Anuda el sonido del sapo
6 letras
#Juegodepalabras #adivinanzas #crucigramas</v>
      </c>
      <c r="E104" s="17"/>
      <c r="F104" s="17">
        <f t="shared" si="8"/>
        <v>92</v>
      </c>
      <c r="G104" s="6">
        <v>269239</v>
      </c>
      <c r="H104" s="1">
        <v>57</v>
      </c>
      <c r="I104" s="2" t="s">
        <v>201</v>
      </c>
      <c r="J104" s="2" t="s">
        <v>201</v>
      </c>
      <c r="K104" s="2" t="s">
        <v>202</v>
      </c>
      <c r="L104" s="2">
        <f t="shared" si="7"/>
        <v>6</v>
      </c>
      <c r="M104" s="2" t="s">
        <v>2</v>
      </c>
      <c r="N104" s="2" t="s">
        <v>3</v>
      </c>
      <c r="O104" s="1">
        <v>6</v>
      </c>
      <c r="P104" s="2"/>
      <c r="Q104" s="2"/>
      <c r="R104" s="2"/>
      <c r="S104" s="2" t="s">
        <v>203</v>
      </c>
      <c r="U104" s="2" t="s">
        <v>7</v>
      </c>
    </row>
    <row r="105" spans="2:21" ht="89.25" x14ac:dyDescent="0.25">
      <c r="B105" s="15"/>
      <c r="C105" s="13" t="str">
        <f t="shared" si="6"/>
        <v>x</v>
      </c>
      <c r="D105" s="14" t="str">
        <f t="shared" si="9"/>
        <v>#Matete Nro 11
Litera del tamaño de un terreno
8 letras
#Juegodepalabras #adivinanzas #crucigramas</v>
      </c>
      <c r="E105" s="17"/>
      <c r="F105" s="17">
        <f t="shared" si="8"/>
        <v>99</v>
      </c>
      <c r="G105" s="6">
        <v>270996</v>
      </c>
      <c r="H105" s="1">
        <v>11</v>
      </c>
      <c r="I105" s="2" t="s">
        <v>42</v>
      </c>
      <c r="J105" s="2" t="s">
        <v>42</v>
      </c>
      <c r="K105" s="2" t="s">
        <v>43</v>
      </c>
      <c r="L105" s="2">
        <f t="shared" si="7"/>
        <v>8</v>
      </c>
      <c r="M105" s="2" t="s">
        <v>2</v>
      </c>
      <c r="N105" s="2" t="s">
        <v>3</v>
      </c>
      <c r="O105" s="1">
        <v>2</v>
      </c>
      <c r="P105" s="2" t="s">
        <v>44</v>
      </c>
      <c r="Q105" s="2"/>
      <c r="R105" s="2"/>
      <c r="S105" s="2" t="s">
        <v>45</v>
      </c>
      <c r="U105" s="2" t="s">
        <v>7</v>
      </c>
    </row>
    <row r="106" spans="2:21" ht="102" x14ac:dyDescent="0.25">
      <c r="B106" s="12"/>
      <c r="C106" s="13" t="str">
        <f t="shared" si="6"/>
        <v>x</v>
      </c>
      <c r="D106" s="14" t="str">
        <f t="shared" si="9"/>
        <v>#Matete Nro 92
El afilado entrega mercadería para que se la paguen más adelante
9 letras
#Juegodepalabras #adivinanzas #crucigramas</v>
      </c>
      <c r="E106" s="17"/>
      <c r="F106" s="17">
        <f t="shared" si="8"/>
        <v>132</v>
      </c>
      <c r="G106" s="6">
        <v>271570</v>
      </c>
      <c r="H106" s="1">
        <v>92</v>
      </c>
      <c r="I106" s="2" t="s">
        <v>324</v>
      </c>
      <c r="J106" s="2" t="s">
        <v>327</v>
      </c>
      <c r="K106" s="2" t="s">
        <v>325</v>
      </c>
      <c r="L106" s="2">
        <f t="shared" si="7"/>
        <v>9</v>
      </c>
      <c r="M106" s="2"/>
      <c r="N106" s="2" t="s">
        <v>3</v>
      </c>
      <c r="O106" s="1">
        <v>9</v>
      </c>
      <c r="P106" s="2"/>
      <c r="Q106" s="2"/>
      <c r="R106" s="2"/>
      <c r="S106" s="2" t="s">
        <v>326</v>
      </c>
      <c r="U106" s="2" t="s">
        <v>7</v>
      </c>
    </row>
    <row r="107" spans="2:21" ht="89.25" x14ac:dyDescent="0.25">
      <c r="B107" s="12"/>
      <c r="C107" s="13" t="str">
        <f t="shared" si="6"/>
        <v>x</v>
      </c>
      <c r="D107" s="14" t="str">
        <f t="shared" si="9"/>
        <v>#Matete Nro 113
Perciben con los ojos tapados cubos con puntos en sus caras
8 letras
#Juegodepalabras #adivinanzas #crucigramas</v>
      </c>
      <c r="E107" s="17"/>
      <c r="F107" s="17">
        <f t="shared" si="8"/>
        <v>128</v>
      </c>
      <c r="G107" s="6">
        <v>272478</v>
      </c>
      <c r="H107" s="1">
        <v>113</v>
      </c>
      <c r="I107" s="2" t="s">
        <v>402</v>
      </c>
      <c r="J107" s="2" t="s">
        <v>405</v>
      </c>
      <c r="K107" s="2" t="s">
        <v>403</v>
      </c>
      <c r="L107" s="2">
        <f t="shared" si="7"/>
        <v>8</v>
      </c>
      <c r="M107" s="2" t="s">
        <v>349</v>
      </c>
      <c r="N107" s="2" t="s">
        <v>3</v>
      </c>
      <c r="O107" s="1">
        <v>11</v>
      </c>
      <c r="P107" s="2"/>
      <c r="Q107" s="2"/>
      <c r="R107" s="2"/>
      <c r="S107" s="2" t="s">
        <v>404</v>
      </c>
      <c r="U107" s="2" t="s">
        <v>7</v>
      </c>
    </row>
    <row r="108" spans="2:21" ht="89.25" x14ac:dyDescent="0.25">
      <c r="B108" s="12"/>
      <c r="C108" s="13" t="str">
        <f t="shared" si="6"/>
        <v>x</v>
      </c>
      <c r="D108" s="14" t="str">
        <f t="shared" si="9"/>
        <v>#Matete Nro 580
Divisar a las que no pueden hablar.
8 letras
#Juegodepalabras #adivinanzas #crucigramas</v>
      </c>
      <c r="E108" s="17"/>
      <c r="F108" s="17">
        <f t="shared" si="8"/>
        <v>104</v>
      </c>
      <c r="G108" s="6">
        <v>273274</v>
      </c>
      <c r="H108" s="1">
        <v>580</v>
      </c>
      <c r="I108" s="2" t="s">
        <v>1504</v>
      </c>
      <c r="J108" s="2" t="s">
        <v>1504</v>
      </c>
      <c r="K108" s="2" t="s">
        <v>1505</v>
      </c>
      <c r="L108" s="2">
        <f t="shared" si="7"/>
        <v>8</v>
      </c>
      <c r="M108" s="2"/>
      <c r="N108" s="2" t="s">
        <v>3</v>
      </c>
      <c r="O108" s="1">
        <v>34</v>
      </c>
      <c r="P108" s="2"/>
      <c r="Q108" s="2"/>
      <c r="R108" s="2"/>
      <c r="S108" s="2" t="s">
        <v>1506</v>
      </c>
      <c r="U108" s="2" t="s">
        <v>1423</v>
      </c>
    </row>
    <row r="109" spans="2:21" ht="76.5" x14ac:dyDescent="0.25">
      <c r="B109" s="12"/>
      <c r="C109" s="13" t="str">
        <f t="shared" si="6"/>
        <v>x</v>
      </c>
      <c r="D109" s="14" t="str">
        <f t="shared" si="9"/>
        <v>#Matete Nro 225
Sufraga la rama fina
8 letras
#Juegodepalabras #adivinanzas #crucigramas</v>
      </c>
      <c r="E109" s="17"/>
      <c r="F109" s="17">
        <f t="shared" si="8"/>
        <v>89</v>
      </c>
      <c r="G109" s="6">
        <v>277632</v>
      </c>
      <c r="H109" s="1">
        <v>225</v>
      </c>
      <c r="I109" s="2" t="s">
        <v>766</v>
      </c>
      <c r="J109" s="2" t="s">
        <v>766</v>
      </c>
      <c r="K109" s="2" t="s">
        <v>767</v>
      </c>
      <c r="L109" s="2">
        <f t="shared" si="7"/>
        <v>8</v>
      </c>
      <c r="M109" s="2" t="s">
        <v>349</v>
      </c>
      <c r="N109" s="2" t="s">
        <v>3</v>
      </c>
      <c r="O109" s="1">
        <v>18</v>
      </c>
      <c r="P109" s="2"/>
      <c r="Q109" s="2"/>
      <c r="R109" s="2"/>
      <c r="S109" s="2" t="s">
        <v>768</v>
      </c>
      <c r="U109" s="2" t="s">
        <v>740</v>
      </c>
    </row>
    <row r="110" spans="2:21" ht="89.25" x14ac:dyDescent="0.25">
      <c r="B110" s="12"/>
      <c r="C110" s="13" t="str">
        <f t="shared" si="6"/>
        <v>x</v>
      </c>
      <c r="D110" s="14" t="str">
        <f t="shared" si="9"/>
        <v>#Matete Nro 660
Recorte un componente de la multiplicación
10 letras
#Juegodepalabras #adivinanzas #crucigramas</v>
      </c>
      <c r="E110" s="17"/>
      <c r="F110" s="17">
        <f t="shared" si="8"/>
        <v>112</v>
      </c>
      <c r="G110" s="6">
        <v>281812</v>
      </c>
      <c r="H110" s="1">
        <v>660</v>
      </c>
      <c r="I110" s="2" t="s">
        <v>1467</v>
      </c>
      <c r="J110" s="2" t="s">
        <v>1606</v>
      </c>
      <c r="K110" s="2" t="s">
        <v>1604</v>
      </c>
      <c r="L110" s="2">
        <f t="shared" si="7"/>
        <v>10</v>
      </c>
      <c r="M110" s="2"/>
      <c r="N110" s="2" t="s">
        <v>3</v>
      </c>
      <c r="O110" s="1">
        <v>35</v>
      </c>
      <c r="P110" s="2"/>
      <c r="Q110" s="2"/>
      <c r="R110" s="2"/>
      <c r="S110" s="2" t="s">
        <v>1605</v>
      </c>
      <c r="U110" s="2" t="s">
        <v>1423</v>
      </c>
    </row>
    <row r="111" spans="2:21" ht="102" x14ac:dyDescent="0.25">
      <c r="B111" s="12"/>
      <c r="C111" s="13" t="str">
        <f t="shared" si="6"/>
        <v>x</v>
      </c>
      <c r="D111" s="14" t="str">
        <f t="shared" si="9"/>
        <v>#Matete Nro 320
Conservación de la primera nota que hace su par del abecedario
9 letras
#Juegodepalabras #adivinanzas #crucigramas</v>
      </c>
      <c r="E111" s="17"/>
      <c r="F111" s="17">
        <f t="shared" si="8"/>
        <v>131</v>
      </c>
      <c r="G111" s="6">
        <v>283113</v>
      </c>
      <c r="H111" s="1">
        <v>320</v>
      </c>
      <c r="I111" s="2" t="s">
        <v>1059</v>
      </c>
      <c r="J111" s="2" t="s">
        <v>1062</v>
      </c>
      <c r="K111" s="2" t="s">
        <v>1060</v>
      </c>
      <c r="L111" s="2">
        <f t="shared" si="7"/>
        <v>9</v>
      </c>
      <c r="M111" s="2"/>
      <c r="N111" s="2" t="s">
        <v>83</v>
      </c>
      <c r="O111" s="1">
        <v>26</v>
      </c>
      <c r="P111" s="2"/>
      <c r="Q111" s="2"/>
      <c r="R111" s="2"/>
      <c r="S111" s="2" t="s">
        <v>1061</v>
      </c>
      <c r="U111" s="2" t="s">
        <v>740</v>
      </c>
    </row>
    <row r="112" spans="2:21" ht="76.5" x14ac:dyDescent="0.25">
      <c r="B112" s="12"/>
      <c r="C112" s="13" t="str">
        <f t="shared" si="6"/>
        <v>x</v>
      </c>
      <c r="D112" s="14" t="str">
        <f t="shared" si="9"/>
        <v>#Matete Nro 496
Ha sido asi sea
6 letras
#Juegodepalabras #adivinanzas #crucigramas</v>
      </c>
      <c r="E112" s="17"/>
      <c r="F112" s="17">
        <f t="shared" si="8"/>
        <v>84</v>
      </c>
      <c r="G112" s="6">
        <v>283815</v>
      </c>
      <c r="H112" s="1">
        <v>496</v>
      </c>
      <c r="I112" s="2" t="s">
        <v>1377</v>
      </c>
      <c r="J112" s="2" t="s">
        <v>1377</v>
      </c>
      <c r="K112" s="2" t="s">
        <v>1378</v>
      </c>
      <c r="L112" s="2">
        <f t="shared" si="7"/>
        <v>6</v>
      </c>
      <c r="M112" s="2"/>
      <c r="N112" s="2" t="s">
        <v>3</v>
      </c>
      <c r="O112" s="1">
        <v>33</v>
      </c>
      <c r="P112" s="2"/>
      <c r="Q112" s="2"/>
      <c r="R112" s="2"/>
      <c r="S112" s="2" t="s">
        <v>1379</v>
      </c>
      <c r="U112" s="2" t="s">
        <v>740</v>
      </c>
    </row>
    <row r="113" spans="2:21" ht="76.5" x14ac:dyDescent="0.25">
      <c r="B113" s="12"/>
      <c r="C113" s="13" t="str">
        <f t="shared" si="6"/>
        <v>x</v>
      </c>
      <c r="D113" s="14" t="str">
        <f t="shared" si="9"/>
        <v>#Matete Nro 80
Dejé caer óxido de calcio
8 letras
#Juegodepalabras #adivinanzas #crucigramas</v>
      </c>
      <c r="E113" s="17"/>
      <c r="F113" s="17">
        <f t="shared" si="8"/>
        <v>93</v>
      </c>
      <c r="G113" s="6">
        <v>289606</v>
      </c>
      <c r="H113" s="1">
        <v>80</v>
      </c>
      <c r="I113" s="2" t="s">
        <v>282</v>
      </c>
      <c r="J113" s="2" t="s">
        <v>282</v>
      </c>
      <c r="K113" s="2" t="s">
        <v>283</v>
      </c>
      <c r="L113" s="2">
        <f t="shared" si="7"/>
        <v>8</v>
      </c>
      <c r="M113" s="2" t="s">
        <v>2</v>
      </c>
      <c r="N113" s="2" t="s">
        <v>3</v>
      </c>
      <c r="O113" s="1">
        <v>8</v>
      </c>
      <c r="P113" s="2"/>
      <c r="Q113" s="2"/>
      <c r="R113" s="2"/>
      <c r="S113" s="2" t="s">
        <v>284</v>
      </c>
      <c r="U113" s="2" t="s">
        <v>7</v>
      </c>
    </row>
    <row r="114" spans="2:21" ht="76.5" x14ac:dyDescent="0.25">
      <c r="B114" s="12"/>
      <c r="C114" s="13" t="str">
        <f t="shared" si="6"/>
        <v>x</v>
      </c>
      <c r="D114" s="14" t="str">
        <f t="shared" si="9"/>
        <v>#Matete Nro 116
Dificultes el paso de 365 días
9 letras
#Juegodepalabras #adivinanzas #crucigramas</v>
      </c>
      <c r="E114" s="17"/>
      <c r="F114" s="17">
        <f t="shared" si="8"/>
        <v>99</v>
      </c>
      <c r="G114" s="6">
        <v>293575</v>
      </c>
      <c r="H114" s="1">
        <v>116</v>
      </c>
      <c r="I114" s="2" t="s">
        <v>414</v>
      </c>
      <c r="J114" s="2" t="s">
        <v>414</v>
      </c>
      <c r="K114" s="2" t="s">
        <v>415</v>
      </c>
      <c r="L114" s="2">
        <f t="shared" si="7"/>
        <v>9</v>
      </c>
      <c r="M114" s="2"/>
      <c r="N114" s="2" t="s">
        <v>3</v>
      </c>
      <c r="O114" s="1">
        <v>12</v>
      </c>
      <c r="P114" s="2"/>
      <c r="Q114" s="2"/>
      <c r="R114" s="2"/>
      <c r="S114" s="2" t="s">
        <v>416</v>
      </c>
      <c r="U114" s="2" t="s">
        <v>7</v>
      </c>
    </row>
    <row r="115" spans="2:21" ht="89.25" x14ac:dyDescent="0.25">
      <c r="B115" s="12"/>
      <c r="C115" s="13" t="str">
        <f t="shared" si="6"/>
        <v>x</v>
      </c>
      <c r="D115" s="14" t="str">
        <f t="shared" si="9"/>
        <v>#Matete Nro 438
Fenómeno celestial que introduce un metal precioso
7 letras
#Juegodepalabras #adivinanzas #crucigramas</v>
      </c>
      <c r="E115" s="17"/>
      <c r="F115" s="17">
        <f t="shared" si="8"/>
        <v>119</v>
      </c>
      <c r="G115" s="6">
        <v>296242</v>
      </c>
      <c r="H115" s="1">
        <v>438</v>
      </c>
      <c r="I115" s="2" t="s">
        <v>1279</v>
      </c>
      <c r="J115" s="2" t="s">
        <v>1279</v>
      </c>
      <c r="K115" s="2" t="s">
        <v>1280</v>
      </c>
      <c r="L115" s="2">
        <f t="shared" si="7"/>
        <v>7</v>
      </c>
      <c r="M115" s="2" t="s">
        <v>68</v>
      </c>
      <c r="N115" s="2" t="s">
        <v>3</v>
      </c>
      <c r="O115" s="1">
        <v>30</v>
      </c>
      <c r="P115" s="2"/>
      <c r="Q115" s="2"/>
      <c r="R115" s="2"/>
      <c r="S115" s="2" t="s">
        <v>1281</v>
      </c>
      <c r="U115" s="2" t="s">
        <v>740</v>
      </c>
    </row>
    <row r="116" spans="2:21" ht="76.5" x14ac:dyDescent="0.25">
      <c r="B116" s="12"/>
      <c r="C116" s="13" t="str">
        <f t="shared" si="6"/>
        <v>x</v>
      </c>
      <c r="D116" s="14" t="str">
        <f t="shared" si="9"/>
        <v>#Matete Nro 171
El uno que no tiene
7 letras
#Juegodepalabras #adivinanzas #crucigramas</v>
      </c>
      <c r="E116" s="17"/>
      <c r="F116" s="17">
        <f t="shared" si="8"/>
        <v>88</v>
      </c>
      <c r="G116" s="6">
        <v>299269</v>
      </c>
      <c r="H116" s="1">
        <v>171</v>
      </c>
      <c r="I116" s="2" t="s">
        <v>589</v>
      </c>
      <c r="J116" s="2" t="s">
        <v>589</v>
      </c>
      <c r="K116" s="2" t="s">
        <v>590</v>
      </c>
      <c r="L116" s="2">
        <f t="shared" si="7"/>
        <v>7</v>
      </c>
      <c r="M116" s="2" t="s">
        <v>349</v>
      </c>
      <c r="N116" s="2" t="s">
        <v>3</v>
      </c>
      <c r="O116" s="1">
        <v>15</v>
      </c>
      <c r="P116" s="2"/>
      <c r="Q116" s="2"/>
      <c r="R116" s="2"/>
      <c r="S116" s="2" t="s">
        <v>591</v>
      </c>
      <c r="U116" s="2" t="s">
        <v>7</v>
      </c>
    </row>
    <row r="117" spans="2:21" ht="76.5" x14ac:dyDescent="0.25">
      <c r="B117" s="12"/>
      <c r="C117" s="13" t="str">
        <f t="shared" si="6"/>
        <v>x</v>
      </c>
      <c r="D117" s="14" t="str">
        <f t="shared" si="9"/>
        <v>#Matete Nro 289
La que solía estar en la cárcel
7 letras
#Juegodepalabras #adivinanzas #crucigramas</v>
      </c>
      <c r="E117" s="17"/>
      <c r="F117" s="17">
        <f t="shared" si="8"/>
        <v>100</v>
      </c>
      <c r="G117" s="6">
        <v>306292</v>
      </c>
      <c r="H117" s="1">
        <v>289</v>
      </c>
      <c r="I117" s="2" t="s">
        <v>963</v>
      </c>
      <c r="J117" s="2" t="s">
        <v>966</v>
      </c>
      <c r="K117" s="2" t="s">
        <v>964</v>
      </c>
      <c r="L117" s="2">
        <f t="shared" si="7"/>
        <v>7</v>
      </c>
      <c r="M117" s="2"/>
      <c r="N117" s="2" t="s">
        <v>3</v>
      </c>
      <c r="O117" s="1">
        <v>22</v>
      </c>
      <c r="P117" s="2"/>
      <c r="Q117" s="2"/>
      <c r="R117" s="2"/>
      <c r="S117" s="2" t="s">
        <v>965</v>
      </c>
      <c r="U117" s="2" t="s">
        <v>740</v>
      </c>
    </row>
    <row r="118" spans="2:21" ht="89.25" x14ac:dyDescent="0.25">
      <c r="B118" s="12"/>
      <c r="C118" s="13" t="str">
        <f t="shared" si="6"/>
        <v>x</v>
      </c>
      <c r="D118" s="14" t="str">
        <f t="shared" si="9"/>
        <v>#Matete Nro 564
El que le lleva una manzana a la maestra no cree en Dios
7 letras
#Juegodepalabras #adivinanzas #crucigramas</v>
      </c>
      <c r="E118" s="17"/>
      <c r="F118" s="17">
        <f t="shared" si="8"/>
        <v>125</v>
      </c>
      <c r="G118" s="6">
        <v>307526</v>
      </c>
      <c r="H118" s="1">
        <v>564</v>
      </c>
      <c r="I118" s="2" t="s">
        <v>1476</v>
      </c>
      <c r="J118" s="2" t="s">
        <v>1479</v>
      </c>
      <c r="K118" s="2" t="s">
        <v>1477</v>
      </c>
      <c r="L118" s="2">
        <f t="shared" si="7"/>
        <v>7</v>
      </c>
      <c r="M118" s="2" t="s">
        <v>68</v>
      </c>
      <c r="N118" s="2" t="s">
        <v>76</v>
      </c>
      <c r="O118" s="1">
        <v>34</v>
      </c>
      <c r="P118" s="2"/>
      <c r="Q118" s="2"/>
      <c r="R118" s="2"/>
      <c r="S118" s="2" t="s">
        <v>1478</v>
      </c>
      <c r="U118" s="2" t="s">
        <v>1423</v>
      </c>
    </row>
    <row r="119" spans="2:21" ht="89.25" x14ac:dyDescent="0.25">
      <c r="B119" s="12"/>
      <c r="C119" s="13" t="str">
        <f t="shared" ref="C119:C182" si="10">IF(B119&lt;&gt;"",WEEKDAY(B119),"x")</f>
        <v>x</v>
      </c>
      <c r="D119" s="14" t="str">
        <f t="shared" si="9"/>
        <v>#Matete Nro 492
Traducción combinada de see you puerta
8 letras
#Juegodepalabras #adivinanzas #crucigramas</v>
      </c>
      <c r="E119" s="17"/>
      <c r="F119" s="17">
        <f t="shared" si="8"/>
        <v>107</v>
      </c>
      <c r="G119" s="6">
        <v>308025</v>
      </c>
      <c r="H119" s="1">
        <v>492</v>
      </c>
      <c r="I119" s="2" t="s">
        <v>1371</v>
      </c>
      <c r="J119" s="2" t="s">
        <v>1371</v>
      </c>
      <c r="K119" s="2" t="s">
        <v>1372</v>
      </c>
      <c r="L119" s="2">
        <f t="shared" si="7"/>
        <v>8</v>
      </c>
      <c r="M119" s="2"/>
      <c r="N119" s="2" t="s">
        <v>195</v>
      </c>
      <c r="O119" s="1">
        <v>32</v>
      </c>
      <c r="P119" s="2"/>
      <c r="Q119" s="2"/>
      <c r="R119" s="2"/>
      <c r="S119" s="2" t="s">
        <v>1373</v>
      </c>
      <c r="U119" s="2" t="s">
        <v>740</v>
      </c>
    </row>
    <row r="120" spans="2:21" ht="89.25" x14ac:dyDescent="0.25">
      <c r="B120" s="12"/>
      <c r="C120" s="13" t="str">
        <f t="shared" si="10"/>
        <v>x</v>
      </c>
      <c r="D120" s="14" t="str">
        <f t="shared" si="9"/>
        <v>#Matete Nro 616
Conozca la forma de labrar la tierra
7 letras
#Juegodepalabras #adivinanzas #crucigramas</v>
      </c>
      <c r="E120" s="17"/>
      <c r="F120" s="17">
        <f t="shared" si="8"/>
        <v>105</v>
      </c>
      <c r="G120" s="6">
        <v>308451</v>
      </c>
      <c r="H120" s="1">
        <v>616</v>
      </c>
      <c r="I120" s="2" t="s">
        <v>1540</v>
      </c>
      <c r="J120" s="2" t="s">
        <v>1540</v>
      </c>
      <c r="K120" s="2" t="s">
        <v>1541</v>
      </c>
      <c r="L120" s="2">
        <f t="shared" si="7"/>
        <v>7</v>
      </c>
      <c r="M120" s="2"/>
      <c r="N120" s="2" t="s">
        <v>76</v>
      </c>
      <c r="O120" s="1">
        <v>35</v>
      </c>
      <c r="P120" s="2"/>
      <c r="Q120" s="2"/>
      <c r="R120" s="2"/>
      <c r="S120" s="2" t="s">
        <v>1542</v>
      </c>
      <c r="U120" s="2" t="s">
        <v>1423</v>
      </c>
    </row>
    <row r="121" spans="2:21" ht="102" x14ac:dyDescent="0.25">
      <c r="B121" s="12"/>
      <c r="C121" s="13" t="str">
        <f t="shared" si="10"/>
        <v>x</v>
      </c>
      <c r="D121" s="14" t="str">
        <f t="shared" si="9"/>
        <v>#Matete Nro 540
Dícese del árbol que se quedó sin ramas ni hojas en su parte superior.
7 letras
#Juegodepalabras #adivinanzas #crucigramas</v>
      </c>
      <c r="E121" s="17"/>
      <c r="F121" s="17">
        <f t="shared" si="8"/>
        <v>139</v>
      </c>
      <c r="G121" s="6">
        <v>309516</v>
      </c>
      <c r="H121" s="1">
        <v>540</v>
      </c>
      <c r="I121" s="2" t="s">
        <v>1435</v>
      </c>
      <c r="J121" s="2" t="s">
        <v>1438</v>
      </c>
      <c r="K121" s="2" t="s">
        <v>1436</v>
      </c>
      <c r="L121" s="2">
        <f t="shared" si="7"/>
        <v>7</v>
      </c>
      <c r="M121" s="2"/>
      <c r="N121" s="2" t="s">
        <v>3</v>
      </c>
      <c r="O121" s="1">
        <v>33</v>
      </c>
      <c r="P121" s="2"/>
      <c r="Q121" s="2"/>
      <c r="R121" s="2"/>
      <c r="S121" s="2" t="s">
        <v>1437</v>
      </c>
      <c r="U121" s="2" t="s">
        <v>1423</v>
      </c>
    </row>
    <row r="122" spans="2:21" ht="89.25" x14ac:dyDescent="0.25">
      <c r="B122" s="12"/>
      <c r="C122" s="13" t="str">
        <f t="shared" si="10"/>
        <v>x</v>
      </c>
      <c r="D122" s="14" t="str">
        <f t="shared" si="9"/>
        <v>#Matete Nro 482
Lo que hace para que el agua de mar no se vuelva dulce
7 letras
#Juegodepalabras #adivinanzas #crucigramas</v>
      </c>
      <c r="E122" s="17"/>
      <c r="F122" s="17">
        <f t="shared" si="8"/>
        <v>123</v>
      </c>
      <c r="G122" s="6">
        <v>312143</v>
      </c>
      <c r="H122" s="1">
        <v>482</v>
      </c>
      <c r="I122" s="2" t="s">
        <v>1355</v>
      </c>
      <c r="J122" s="2" t="s">
        <v>1355</v>
      </c>
      <c r="K122" s="2" t="s">
        <v>1356</v>
      </c>
      <c r="L122" s="2">
        <f t="shared" si="7"/>
        <v>7</v>
      </c>
      <c r="M122" s="2"/>
      <c r="N122" s="2" t="s">
        <v>3</v>
      </c>
      <c r="O122" s="1">
        <v>32</v>
      </c>
      <c r="P122" s="2"/>
      <c r="Q122" s="2"/>
      <c r="R122" s="2"/>
      <c r="S122" s="2" t="s">
        <v>1357</v>
      </c>
      <c r="U122" s="2" t="s">
        <v>740</v>
      </c>
    </row>
    <row r="123" spans="2:21" ht="89.25" x14ac:dyDescent="0.25">
      <c r="B123" s="12"/>
      <c r="C123" s="13" t="str">
        <f t="shared" si="10"/>
        <v>x</v>
      </c>
      <c r="D123" s="14" t="str">
        <f t="shared" si="9"/>
        <v>#Matete Nro 184
El apócope de María se acomoda para la foto
8 letras
#Juegodepalabras #adivinanzas #crucigramas</v>
      </c>
      <c r="E123" s="17"/>
      <c r="F123" s="17">
        <f t="shared" si="8"/>
        <v>112</v>
      </c>
      <c r="G123" s="6">
        <v>316752</v>
      </c>
      <c r="H123" s="1">
        <v>184</v>
      </c>
      <c r="I123" s="2" t="s">
        <v>634</v>
      </c>
      <c r="J123" s="2" t="s">
        <v>634</v>
      </c>
      <c r="K123" s="2" t="s">
        <v>635</v>
      </c>
      <c r="L123" s="2">
        <f t="shared" si="7"/>
        <v>8</v>
      </c>
      <c r="M123" s="2" t="s">
        <v>360</v>
      </c>
      <c r="N123" s="2" t="s">
        <v>3</v>
      </c>
      <c r="O123" s="1">
        <v>16</v>
      </c>
      <c r="P123" s="2" t="s">
        <v>636</v>
      </c>
      <c r="Q123" s="2"/>
      <c r="R123" s="2"/>
      <c r="S123" s="2" t="s">
        <v>637</v>
      </c>
      <c r="U123" s="2" t="s">
        <v>7</v>
      </c>
    </row>
    <row r="124" spans="2:21" ht="76.5" x14ac:dyDescent="0.25">
      <c r="B124" s="12"/>
      <c r="C124" s="13" t="str">
        <f t="shared" si="10"/>
        <v>x</v>
      </c>
      <c r="D124" s="14" t="str">
        <f t="shared" si="9"/>
        <v>#Matete Nro 29
Tranquilidad espiritual del pato
6 letras
#Juegodepalabras #adivinanzas #crucigramas</v>
      </c>
      <c r="E124" s="17"/>
      <c r="F124" s="17">
        <f t="shared" si="8"/>
        <v>100</v>
      </c>
      <c r="G124" s="6">
        <v>317832</v>
      </c>
      <c r="H124" s="1">
        <v>29</v>
      </c>
      <c r="I124" s="2" t="s">
        <v>106</v>
      </c>
      <c r="J124" s="2" t="s">
        <v>106</v>
      </c>
      <c r="K124" s="2" t="s">
        <v>107</v>
      </c>
      <c r="L124" s="2">
        <f t="shared" si="7"/>
        <v>6</v>
      </c>
      <c r="M124" s="2" t="s">
        <v>2</v>
      </c>
      <c r="N124" s="2" t="s">
        <v>3</v>
      </c>
      <c r="O124" s="1">
        <v>3</v>
      </c>
      <c r="P124" s="2" t="s">
        <v>108</v>
      </c>
      <c r="Q124" s="2"/>
      <c r="R124" s="2"/>
      <c r="S124" s="2" t="s">
        <v>109</v>
      </c>
      <c r="U124" s="2" t="s">
        <v>7</v>
      </c>
    </row>
    <row r="125" spans="2:21" ht="89.25" x14ac:dyDescent="0.25">
      <c r="B125" s="12"/>
      <c r="C125" s="13" t="str">
        <f t="shared" si="10"/>
        <v>x</v>
      </c>
      <c r="D125" s="14" t="str">
        <f t="shared" si="9"/>
        <v>#Matete Nro 324
Letra E capaz de adivinar el futuro
8 letras
#Juegodepalabras #adivinanzas #crucigramas</v>
      </c>
      <c r="E125" s="17"/>
      <c r="F125" s="17">
        <f t="shared" si="8"/>
        <v>104</v>
      </c>
      <c r="G125" s="6">
        <v>318328</v>
      </c>
      <c r="H125" s="1">
        <v>324</v>
      </c>
      <c r="I125" s="2" t="s">
        <v>1073</v>
      </c>
      <c r="J125" s="2" t="s">
        <v>1073</v>
      </c>
      <c r="K125" s="2" t="s">
        <v>1074</v>
      </c>
      <c r="L125" s="2">
        <f t="shared" si="7"/>
        <v>8</v>
      </c>
      <c r="M125" s="2"/>
      <c r="N125" s="2" t="s">
        <v>3</v>
      </c>
      <c r="O125" s="1">
        <v>26</v>
      </c>
      <c r="P125" s="2"/>
      <c r="Q125" s="2"/>
      <c r="R125" s="2"/>
      <c r="S125" s="2" t="s">
        <v>1075</v>
      </c>
      <c r="U125" s="2" t="s">
        <v>740</v>
      </c>
    </row>
    <row r="126" spans="2:21" ht="89.25" x14ac:dyDescent="0.25">
      <c r="B126" s="12"/>
      <c r="C126" s="13" t="str">
        <f t="shared" si="10"/>
        <v>x</v>
      </c>
      <c r="D126" s="14" t="str">
        <f t="shared" si="9"/>
        <v>#Matete Nro 612
Incapaz de ver el paso de los años
7 letras
#Juegodepalabras #adivinanzas #crucigramas</v>
      </c>
      <c r="E126" s="17"/>
      <c r="F126" s="17">
        <f t="shared" si="8"/>
        <v>103</v>
      </c>
      <c r="G126" s="6">
        <v>322972</v>
      </c>
      <c r="H126" s="1">
        <v>612</v>
      </c>
      <c r="I126" s="2" t="s">
        <v>1537</v>
      </c>
      <c r="J126" s="2" t="s">
        <v>1537</v>
      </c>
      <c r="K126" s="2" t="s">
        <v>1538</v>
      </c>
      <c r="L126" s="2">
        <f t="shared" si="7"/>
        <v>7</v>
      </c>
      <c r="M126" s="2"/>
      <c r="N126" s="2" t="s">
        <v>83</v>
      </c>
      <c r="O126" s="1">
        <v>35</v>
      </c>
      <c r="P126" s="2"/>
      <c r="Q126" s="2"/>
      <c r="R126" s="2"/>
      <c r="S126" s="2" t="s">
        <v>1539</v>
      </c>
      <c r="U126" s="2" t="s">
        <v>1423</v>
      </c>
    </row>
    <row r="127" spans="2:21" ht="76.5" x14ac:dyDescent="0.25">
      <c r="B127" s="12"/>
      <c r="C127" s="13" t="str">
        <f t="shared" si="10"/>
        <v>x</v>
      </c>
      <c r="D127" s="14" t="str">
        <f t="shared" si="9"/>
        <v>#Matete Nro 144
Acércate, astro luminoso
8 letras
#Juegodepalabras #adivinanzas #crucigramas</v>
      </c>
      <c r="E127" s="17"/>
      <c r="F127" s="17">
        <f t="shared" si="8"/>
        <v>93</v>
      </c>
      <c r="G127" s="6">
        <v>323908</v>
      </c>
      <c r="H127" s="1">
        <v>144</v>
      </c>
      <c r="I127" s="2" t="s">
        <v>508</v>
      </c>
      <c r="J127" s="2" t="s">
        <v>508</v>
      </c>
      <c r="K127" s="2" t="s">
        <v>509</v>
      </c>
      <c r="L127" s="2">
        <f t="shared" si="7"/>
        <v>8</v>
      </c>
      <c r="M127" s="2"/>
      <c r="N127" s="2" t="s">
        <v>3</v>
      </c>
      <c r="O127" s="1">
        <v>14</v>
      </c>
      <c r="P127" s="2"/>
      <c r="Q127" s="2"/>
      <c r="R127" s="2"/>
      <c r="S127" s="2" t="s">
        <v>510</v>
      </c>
      <c r="U127" s="2" t="s">
        <v>7</v>
      </c>
    </row>
    <row r="128" spans="2:21" ht="76.5" x14ac:dyDescent="0.25">
      <c r="B128" s="12"/>
      <c r="C128" s="13" t="str">
        <f t="shared" si="10"/>
        <v>x</v>
      </c>
      <c r="D128" s="14" t="str">
        <f t="shared" si="9"/>
        <v>#Matete Nro 680
Face or what
7 letras
#Juegodepalabras #adivinanzas #crucigramas</v>
      </c>
      <c r="E128" s="17"/>
      <c r="F128" s="17">
        <f t="shared" si="8"/>
        <v>81</v>
      </c>
      <c r="G128" s="6">
        <v>330193</v>
      </c>
      <c r="H128" s="1">
        <v>680</v>
      </c>
      <c r="I128" s="2" t="s">
        <v>1633</v>
      </c>
      <c r="J128" s="2" t="s">
        <v>1633</v>
      </c>
      <c r="K128" s="2" t="s">
        <v>1634</v>
      </c>
      <c r="L128" s="2">
        <f t="shared" si="7"/>
        <v>7</v>
      </c>
      <c r="M128" s="2"/>
      <c r="N128" s="2" t="s">
        <v>195</v>
      </c>
      <c r="O128" s="1">
        <v>35</v>
      </c>
      <c r="P128" s="2"/>
      <c r="Q128" s="2"/>
      <c r="R128" s="2"/>
      <c r="S128" s="2" t="s">
        <v>1635</v>
      </c>
      <c r="U128" s="2" t="s">
        <v>1423</v>
      </c>
    </row>
    <row r="129" spans="2:21" ht="76.5" x14ac:dyDescent="0.25">
      <c r="B129" s="12"/>
      <c r="C129" s="13" t="str">
        <f t="shared" si="10"/>
        <v>x</v>
      </c>
      <c r="D129" s="14" t="str">
        <f t="shared" si="9"/>
        <v>#Matete Nro 59
Ya no están los tres juntos
7 letras
#Juegodepalabras #adivinanzas #crucigramas</v>
      </c>
      <c r="E129" s="17"/>
      <c r="F129" s="17">
        <f t="shared" si="8"/>
        <v>95</v>
      </c>
      <c r="G129" s="6">
        <v>331467</v>
      </c>
      <c r="H129" s="1">
        <v>59</v>
      </c>
      <c r="I129" s="2" t="s">
        <v>208</v>
      </c>
      <c r="J129" s="2" t="s">
        <v>208</v>
      </c>
      <c r="K129" s="2" t="s">
        <v>209</v>
      </c>
      <c r="L129" s="2">
        <f t="shared" si="7"/>
        <v>7</v>
      </c>
      <c r="M129" s="2" t="s">
        <v>39</v>
      </c>
      <c r="N129" s="2" t="s">
        <v>3</v>
      </c>
      <c r="O129" s="1">
        <v>6</v>
      </c>
      <c r="P129" s="2"/>
      <c r="Q129" s="2"/>
      <c r="R129" s="2"/>
      <c r="S129" s="2" t="s">
        <v>210</v>
      </c>
      <c r="U129" s="2" t="s">
        <v>7</v>
      </c>
    </row>
    <row r="130" spans="2:21" ht="76.5" x14ac:dyDescent="0.25">
      <c r="B130" s="12"/>
      <c r="C130" s="13" t="str">
        <f t="shared" si="10"/>
        <v>x</v>
      </c>
      <c r="D130" s="14" t="str">
        <f t="shared" si="9"/>
        <v>#Matete Nro 309
Terreno que mide 3.14
6 letras
#Juegodepalabras #adivinanzas #crucigramas</v>
      </c>
      <c r="E130" s="17"/>
      <c r="F130" s="17">
        <f t="shared" si="8"/>
        <v>90</v>
      </c>
      <c r="G130" s="6">
        <v>335952</v>
      </c>
      <c r="H130" s="1">
        <v>309</v>
      </c>
      <c r="I130" s="2" t="s">
        <v>1025</v>
      </c>
      <c r="J130" s="2" t="s">
        <v>1025</v>
      </c>
      <c r="K130" s="2" t="s">
        <v>1026</v>
      </c>
      <c r="L130" s="2">
        <f t="shared" ref="L130:L193" si="11">LEN(I130)</f>
        <v>6</v>
      </c>
      <c r="M130" s="2"/>
      <c r="N130" s="2" t="s">
        <v>3</v>
      </c>
      <c r="O130" s="1">
        <v>24</v>
      </c>
      <c r="P130" s="2"/>
      <c r="Q130" s="2"/>
      <c r="R130" s="2"/>
      <c r="S130" s="2" t="s">
        <v>1027</v>
      </c>
      <c r="U130" s="2" t="s">
        <v>740</v>
      </c>
    </row>
    <row r="131" spans="2:21" ht="89.25" x14ac:dyDescent="0.25">
      <c r="B131" s="12"/>
      <c r="C131" s="13" t="str">
        <f t="shared" si="10"/>
        <v>x</v>
      </c>
      <c r="D131" s="14" t="str">
        <f t="shared" si="9"/>
        <v>#Matete Nro 202
Quiere mucho una parte del terreno
7 letras
#Juegodepalabras #adivinanzas #crucigramas</v>
      </c>
      <c r="E131" s="17"/>
      <c r="F131" s="17">
        <f t="shared" si="8"/>
        <v>103</v>
      </c>
      <c r="G131" s="6">
        <v>339343</v>
      </c>
      <c r="H131" s="1">
        <v>202</v>
      </c>
      <c r="I131" s="2" t="s">
        <v>697</v>
      </c>
      <c r="J131" s="2" t="s">
        <v>697</v>
      </c>
      <c r="K131" s="2" t="s">
        <v>698</v>
      </c>
      <c r="L131" s="2">
        <f t="shared" si="11"/>
        <v>7</v>
      </c>
      <c r="M131" s="2"/>
      <c r="N131" s="2" t="s">
        <v>3</v>
      </c>
      <c r="O131" s="1">
        <v>17</v>
      </c>
      <c r="P131" s="2" t="s">
        <v>699</v>
      </c>
      <c r="Q131" s="2"/>
      <c r="R131" s="2"/>
      <c r="S131" s="2" t="s">
        <v>700</v>
      </c>
      <c r="U131" s="2" t="s">
        <v>7</v>
      </c>
    </row>
    <row r="132" spans="2:21" ht="89.25" x14ac:dyDescent="0.25">
      <c r="B132" s="12"/>
      <c r="C132" s="13" t="str">
        <f t="shared" si="10"/>
        <v>x</v>
      </c>
      <c r="D132" s="14" t="str">
        <f t="shared" si="9"/>
        <v>#Matete Nro 654
caída estrepitosa de nieve que dura 24 horas
6 letras
#Juegodepalabras #adivinanzas #crucigramas</v>
      </c>
      <c r="E132" s="17"/>
      <c r="F132" s="17">
        <f t="shared" si="8"/>
        <v>113</v>
      </c>
      <c r="G132" s="6">
        <v>342539</v>
      </c>
      <c r="H132" s="1">
        <v>654</v>
      </c>
      <c r="I132" s="2" t="s">
        <v>1596</v>
      </c>
      <c r="J132" s="2" t="s">
        <v>1599</v>
      </c>
      <c r="K132" s="2" t="s">
        <v>1597</v>
      </c>
      <c r="L132" s="2">
        <f t="shared" si="11"/>
        <v>6</v>
      </c>
      <c r="M132" s="2"/>
      <c r="N132" s="2" t="s">
        <v>76</v>
      </c>
      <c r="O132" s="1">
        <v>35</v>
      </c>
      <c r="P132" s="2"/>
      <c r="Q132" s="2"/>
      <c r="R132" s="2"/>
      <c r="S132" s="2" t="s">
        <v>1598</v>
      </c>
      <c r="U132" s="2" t="s">
        <v>1423</v>
      </c>
    </row>
    <row r="133" spans="2:21" ht="89.25" x14ac:dyDescent="0.25">
      <c r="B133" s="12"/>
      <c r="C133" s="13" t="str">
        <f t="shared" si="10"/>
        <v>x</v>
      </c>
      <c r="D133" s="14" t="str">
        <f t="shared" si="9"/>
        <v>#Matete Nro 48
Mueble rey de la selva que sirve para dormir
8 letras
#Juegodepalabras #adivinanzas #crucigramas</v>
      </c>
      <c r="E133" s="17"/>
      <c r="F133" s="17">
        <f t="shared" si="8"/>
        <v>112</v>
      </c>
      <c r="G133" s="6">
        <v>344368</v>
      </c>
      <c r="H133" s="1">
        <v>48</v>
      </c>
      <c r="I133" s="2" t="s">
        <v>173</v>
      </c>
      <c r="J133" s="2" t="s">
        <v>177</v>
      </c>
      <c r="K133" s="2" t="s">
        <v>174</v>
      </c>
      <c r="L133" s="2">
        <f t="shared" si="11"/>
        <v>8</v>
      </c>
      <c r="M133" s="2" t="s">
        <v>2</v>
      </c>
      <c r="N133" s="2" t="s">
        <v>3</v>
      </c>
      <c r="O133" s="1">
        <v>5</v>
      </c>
      <c r="P133" s="2" t="s">
        <v>175</v>
      </c>
      <c r="Q133" s="2"/>
      <c r="R133" s="2"/>
      <c r="S133" s="2" t="s">
        <v>176</v>
      </c>
      <c r="U133" s="2" t="s">
        <v>7</v>
      </c>
    </row>
    <row r="134" spans="2:21" ht="89.25" x14ac:dyDescent="0.25">
      <c r="B134" s="12"/>
      <c r="C134" s="13" t="str">
        <f t="shared" si="10"/>
        <v>x</v>
      </c>
      <c r="D134" s="14" t="str">
        <f t="shared" si="9"/>
        <v>#Matete Nro 578
Vocal que tiene pelo sobre los ojos.
8 letras
#Juegodepalabras #adivinanzas #crucigramas</v>
      </c>
      <c r="E134" s="17"/>
      <c r="F134" s="17">
        <f t="shared" si="8"/>
        <v>105</v>
      </c>
      <c r="G134" s="6">
        <v>344372</v>
      </c>
      <c r="H134" s="1">
        <v>578</v>
      </c>
      <c r="I134" s="2" t="s">
        <v>1500</v>
      </c>
      <c r="J134" s="2" t="s">
        <v>1503</v>
      </c>
      <c r="K134" s="2" t="s">
        <v>1501</v>
      </c>
      <c r="L134" s="2">
        <f t="shared" si="11"/>
        <v>8</v>
      </c>
      <c r="M134" s="2"/>
      <c r="N134" s="2" t="s">
        <v>83</v>
      </c>
      <c r="O134" s="1">
        <v>34</v>
      </c>
      <c r="P134" s="2"/>
      <c r="Q134" s="2"/>
      <c r="R134" s="2"/>
      <c r="S134" s="2" t="s">
        <v>1502</v>
      </c>
      <c r="U134" s="2" t="s">
        <v>1423</v>
      </c>
    </row>
    <row r="135" spans="2:21" ht="89.25" x14ac:dyDescent="0.25">
      <c r="B135" s="12"/>
      <c r="C135" s="13" t="str">
        <f t="shared" si="10"/>
        <v>x</v>
      </c>
      <c r="D135" s="14" t="str">
        <f t="shared" si="9"/>
        <v>#Matete Nro 133
Quizás no muerdo la comida con los dientes
10 letras
#Juegodepalabras #adivinanzas #crucigramas</v>
      </c>
      <c r="E135" s="17"/>
      <c r="F135" s="17">
        <f t="shared" si="8"/>
        <v>112</v>
      </c>
      <c r="G135" s="6">
        <v>345044</v>
      </c>
      <c r="H135" s="1">
        <v>133</v>
      </c>
      <c r="I135" s="2" t="s">
        <v>471</v>
      </c>
      <c r="J135" s="2" t="s">
        <v>475</v>
      </c>
      <c r="K135" s="2" t="s">
        <v>472</v>
      </c>
      <c r="L135" s="2">
        <f t="shared" si="11"/>
        <v>10</v>
      </c>
      <c r="M135" s="2" t="s">
        <v>473</v>
      </c>
      <c r="N135" s="2" t="s">
        <v>83</v>
      </c>
      <c r="O135" s="1">
        <v>13</v>
      </c>
      <c r="P135" s="2"/>
      <c r="Q135" s="2"/>
      <c r="R135" s="2"/>
      <c r="S135" s="2" t="s">
        <v>474</v>
      </c>
      <c r="U135" s="2" t="s">
        <v>7</v>
      </c>
    </row>
    <row r="136" spans="2:21" ht="89.25" x14ac:dyDescent="0.25">
      <c r="B136" s="12"/>
      <c r="C136" s="13" t="str">
        <f t="shared" si="10"/>
        <v>x</v>
      </c>
      <c r="D136" s="14" t="str">
        <f t="shared" si="9"/>
        <v>#Matete Nro 175
Entregar 3600 segundos agrupados
7 letras
#Juegodepalabras #adivinanzas #crucigramas</v>
      </c>
      <c r="E136" s="17"/>
      <c r="F136" s="17">
        <f t="shared" si="8"/>
        <v>101</v>
      </c>
      <c r="G136" s="6">
        <v>345690</v>
      </c>
      <c r="H136" s="1">
        <v>175</v>
      </c>
      <c r="I136" s="2" t="s">
        <v>602</v>
      </c>
      <c r="J136" s="2" t="s">
        <v>602</v>
      </c>
      <c r="K136" s="2" t="s">
        <v>603</v>
      </c>
      <c r="L136" s="2">
        <f t="shared" si="11"/>
        <v>7</v>
      </c>
      <c r="M136" s="2" t="s">
        <v>349</v>
      </c>
      <c r="N136" s="2" t="s">
        <v>3</v>
      </c>
      <c r="O136" s="1">
        <v>15</v>
      </c>
      <c r="P136" s="2"/>
      <c r="Q136" s="2"/>
      <c r="R136" s="2"/>
      <c r="S136" s="2" t="s">
        <v>604</v>
      </c>
      <c r="U136" s="2" t="s">
        <v>7</v>
      </c>
    </row>
    <row r="137" spans="2:21" ht="89.25" x14ac:dyDescent="0.25">
      <c r="B137" s="12"/>
      <c r="C137" s="13" t="str">
        <f t="shared" si="10"/>
        <v>x</v>
      </c>
      <c r="D137" s="14" t="str">
        <f t="shared" si="9"/>
        <v>#Matete Nro 127
Quito la enfermedad a la herramienta de la parca
6 letras
#Juegodepalabras #adivinanzas #crucigramas</v>
      </c>
      <c r="E137" s="17"/>
      <c r="F137" s="17">
        <f t="shared" si="8"/>
        <v>117</v>
      </c>
      <c r="G137" s="6">
        <v>348657</v>
      </c>
      <c r="H137" s="1">
        <v>127</v>
      </c>
      <c r="I137" s="2" t="s">
        <v>451</v>
      </c>
      <c r="J137" s="2" t="s">
        <v>451</v>
      </c>
      <c r="K137" s="2" t="s">
        <v>452</v>
      </c>
      <c r="L137" s="2">
        <f t="shared" si="11"/>
        <v>6</v>
      </c>
      <c r="M137" s="2" t="s">
        <v>349</v>
      </c>
      <c r="N137" s="2" t="s">
        <v>3</v>
      </c>
      <c r="O137" s="1">
        <v>13</v>
      </c>
      <c r="P137" s="2"/>
      <c r="Q137" s="2"/>
      <c r="R137" s="2"/>
      <c r="S137" s="2" t="s">
        <v>453</v>
      </c>
      <c r="U137" s="2" t="s">
        <v>7</v>
      </c>
    </row>
    <row r="138" spans="2:21" ht="76.5" x14ac:dyDescent="0.25">
      <c r="B138" s="12"/>
      <c r="C138" s="13" t="str">
        <f t="shared" si="10"/>
        <v>x</v>
      </c>
      <c r="D138" s="14" t="str">
        <f t="shared" si="9"/>
        <v>#Matete Nro 396
Suelo sin explosivos
8 letras
#Juegodepalabras #adivinanzas #crucigramas</v>
      </c>
      <c r="E138" s="17"/>
      <c r="F138" s="17">
        <f t="shared" si="8"/>
        <v>89</v>
      </c>
      <c r="G138" s="6">
        <v>356228</v>
      </c>
      <c r="H138" s="1">
        <v>396</v>
      </c>
      <c r="I138" s="2" t="s">
        <v>1213</v>
      </c>
      <c r="J138" s="2" t="s">
        <v>1216</v>
      </c>
      <c r="K138" s="2" t="s">
        <v>1214</v>
      </c>
      <c r="L138" s="2">
        <f t="shared" si="11"/>
        <v>8</v>
      </c>
      <c r="M138" s="2"/>
      <c r="N138" s="2" t="s">
        <v>3</v>
      </c>
      <c r="O138" s="1">
        <v>29</v>
      </c>
      <c r="P138" s="2"/>
      <c r="Q138" s="2"/>
      <c r="R138" s="2"/>
      <c r="S138" s="2" t="s">
        <v>1215</v>
      </c>
      <c r="U138" s="2" t="s">
        <v>740</v>
      </c>
    </row>
    <row r="139" spans="2:21" ht="76.5" x14ac:dyDescent="0.25">
      <c r="B139" s="12"/>
      <c r="C139" s="13" t="str">
        <f t="shared" si="10"/>
        <v>x</v>
      </c>
      <c r="D139" s="14" t="str">
        <f t="shared" si="9"/>
        <v>#Matete Nro 122
El perro da celos
7 letras
#Juegodepalabras #adivinanzas #crucigramas</v>
      </c>
      <c r="E139" s="17"/>
      <c r="F139" s="17">
        <f t="shared" si="8"/>
        <v>86</v>
      </c>
      <c r="G139" s="6">
        <v>357513</v>
      </c>
      <c r="H139" s="1">
        <v>122</v>
      </c>
      <c r="I139" s="2" t="s">
        <v>433</v>
      </c>
      <c r="J139" s="2" t="s">
        <v>436</v>
      </c>
      <c r="K139" s="2" t="s">
        <v>434</v>
      </c>
      <c r="L139" s="2">
        <f t="shared" si="11"/>
        <v>7</v>
      </c>
      <c r="M139" s="2"/>
      <c r="N139" s="2" t="s">
        <v>3</v>
      </c>
      <c r="O139" s="1">
        <v>12</v>
      </c>
      <c r="P139" s="2"/>
      <c r="Q139" s="2"/>
      <c r="R139" s="2"/>
      <c r="S139" s="2" t="s">
        <v>435</v>
      </c>
      <c r="U139" s="2" t="s">
        <v>7</v>
      </c>
    </row>
    <row r="140" spans="2:21" ht="76.5" x14ac:dyDescent="0.25">
      <c r="B140" s="15"/>
      <c r="C140" s="13" t="str">
        <f t="shared" si="10"/>
        <v>x</v>
      </c>
      <c r="D140" s="14" t="str">
        <f t="shared" si="9"/>
        <v>#Matete Nro 8888
Trepo la baja temperatura
10 letras
#Juegodepalabras #adivinanzas #crucigramas</v>
      </c>
      <c r="E140" s="17"/>
      <c r="F140" s="17">
        <f t="shared" ref="F140:F187" si="12">LEN(D140)</f>
        <v>96</v>
      </c>
      <c r="G140" s="6">
        <v>363876</v>
      </c>
      <c r="H140" s="1">
        <v>8888</v>
      </c>
      <c r="I140" s="2" t="s">
        <v>66</v>
      </c>
      <c r="J140" s="2" t="s">
        <v>70</v>
      </c>
      <c r="K140" s="2" t="s">
        <v>67</v>
      </c>
      <c r="L140" s="2">
        <f t="shared" si="11"/>
        <v>10</v>
      </c>
      <c r="M140" s="2" t="s">
        <v>68</v>
      </c>
      <c r="N140" s="2" t="s">
        <v>3</v>
      </c>
      <c r="O140" s="1">
        <v>2</v>
      </c>
      <c r="P140" s="2"/>
      <c r="Q140" s="2"/>
      <c r="R140" s="2"/>
      <c r="S140" s="2" t="s">
        <v>69</v>
      </c>
      <c r="U140" s="2" t="s">
        <v>7</v>
      </c>
    </row>
    <row r="141" spans="2:21" ht="102" x14ac:dyDescent="0.25">
      <c r="B141" s="12"/>
      <c r="C141" s="13" t="str">
        <f t="shared" si="10"/>
        <v>x</v>
      </c>
      <c r="D141" s="14" t="str">
        <f t="shared" si="9"/>
        <v>#Matete Nro 31
Elemento que determina el lugar de encierro de la primera letra
6 letras
#Juegodepalabras #adivinanzas #crucigramas</v>
      </c>
      <c r="E141" s="17"/>
      <c r="F141" s="17">
        <f t="shared" si="12"/>
        <v>131</v>
      </c>
      <c r="G141" s="6">
        <v>367452</v>
      </c>
      <c r="H141" s="1">
        <v>31</v>
      </c>
      <c r="I141" s="2" t="s">
        <v>114</v>
      </c>
      <c r="J141" s="2" t="s">
        <v>117</v>
      </c>
      <c r="K141" s="2" t="s">
        <v>115</v>
      </c>
      <c r="L141" s="2">
        <f t="shared" si="11"/>
        <v>6</v>
      </c>
      <c r="M141" s="2" t="s">
        <v>2</v>
      </c>
      <c r="N141" s="2" t="s">
        <v>3</v>
      </c>
      <c r="O141" s="1">
        <v>3</v>
      </c>
      <c r="P141" s="2"/>
      <c r="Q141" s="2"/>
      <c r="R141" s="2"/>
      <c r="S141" s="2" t="s">
        <v>116</v>
      </c>
      <c r="U141" s="2" t="s">
        <v>7</v>
      </c>
    </row>
    <row r="142" spans="2:21" ht="76.5" x14ac:dyDescent="0.25">
      <c r="B142" s="12"/>
      <c r="C142" s="13" t="str">
        <f t="shared" si="10"/>
        <v>x</v>
      </c>
      <c r="D142" s="14" t="str">
        <f t="shared" si="9"/>
        <v>#Matete Nro 348
Patada de burro del billón
7 letras
#Juegodepalabras #adivinanzas #crucigramas</v>
      </c>
      <c r="E142" s="17"/>
      <c r="F142" s="17">
        <f t="shared" si="12"/>
        <v>95</v>
      </c>
      <c r="G142" s="6">
        <v>376662</v>
      </c>
      <c r="H142" s="1">
        <v>348</v>
      </c>
      <c r="I142" s="2" t="s">
        <v>1133</v>
      </c>
      <c r="J142" s="2" t="s">
        <v>1133</v>
      </c>
      <c r="K142" s="2" t="s">
        <v>1134</v>
      </c>
      <c r="L142" s="2">
        <f t="shared" si="11"/>
        <v>7</v>
      </c>
      <c r="M142" s="2"/>
      <c r="N142" s="2" t="s">
        <v>3</v>
      </c>
      <c r="O142" s="1">
        <v>29</v>
      </c>
      <c r="P142" s="2"/>
      <c r="Q142" s="2"/>
      <c r="R142" s="2"/>
      <c r="S142" s="2" t="s">
        <v>1135</v>
      </c>
      <c r="U142" s="2" t="s">
        <v>740</v>
      </c>
    </row>
    <row r="143" spans="2:21" ht="89.25" x14ac:dyDescent="0.25">
      <c r="B143" s="12"/>
      <c r="C143" s="13" t="str">
        <f t="shared" si="10"/>
        <v>x</v>
      </c>
      <c r="D143" s="14" t="str">
        <f t="shared" ref="D143:D187" si="13">"#Matete Nro "&amp;H143&amp;CHAR(10)&amp;K143&amp;CHAR(10)&amp;L143&amp;" letras"&amp;CHAR(10)&amp;CHAR(10)&amp;"#Juegodepalabras #adivinanzas #crucigramas"</f>
        <v>#Matete Nro 354
Triángulo rectángulo que gira sobre su eje 24 horas
7 letras
#Juegodepalabras #adivinanzas #crucigramas</v>
      </c>
      <c r="E143" s="17"/>
      <c r="F143" s="17">
        <f t="shared" si="12"/>
        <v>120</v>
      </c>
      <c r="G143" s="6">
        <v>377030</v>
      </c>
      <c r="H143" s="1">
        <v>354</v>
      </c>
      <c r="I143" s="2" t="s">
        <v>1143</v>
      </c>
      <c r="J143" s="2" t="s">
        <v>1146</v>
      </c>
      <c r="K143" s="2" t="s">
        <v>1144</v>
      </c>
      <c r="L143" s="2">
        <f t="shared" si="11"/>
        <v>7</v>
      </c>
      <c r="M143" s="2"/>
      <c r="N143" s="2" t="s">
        <v>3</v>
      </c>
      <c r="O143" s="1">
        <v>29</v>
      </c>
      <c r="P143" s="2"/>
      <c r="Q143" s="2"/>
      <c r="R143" s="2"/>
      <c r="S143" s="2" t="s">
        <v>1145</v>
      </c>
      <c r="U143" s="2" t="s">
        <v>740</v>
      </c>
    </row>
    <row r="144" spans="2:21" ht="89.25" x14ac:dyDescent="0.25">
      <c r="B144" s="12"/>
      <c r="C144" s="13" t="str">
        <f t="shared" si="10"/>
        <v>x</v>
      </c>
      <c r="D144" s="14" t="str">
        <f t="shared" si="13"/>
        <v>#Matete Nro 224
Cacahuate para comer en la baulera del último piso
9 letras
#Juegodepalabras #adivinanzas #crucigramas</v>
      </c>
      <c r="E144" s="17"/>
      <c r="F144" s="17">
        <f t="shared" si="12"/>
        <v>119</v>
      </c>
      <c r="G144" s="6">
        <v>380555</v>
      </c>
      <c r="H144" s="1">
        <v>224</v>
      </c>
      <c r="I144" s="2" t="s">
        <v>762</v>
      </c>
      <c r="J144" s="2" t="s">
        <v>765</v>
      </c>
      <c r="K144" s="2" t="s">
        <v>763</v>
      </c>
      <c r="L144" s="2">
        <f t="shared" si="11"/>
        <v>9</v>
      </c>
      <c r="M144" s="2" t="s">
        <v>349</v>
      </c>
      <c r="N144" s="2" t="s">
        <v>3</v>
      </c>
      <c r="O144" s="1">
        <v>18</v>
      </c>
      <c r="P144" s="2"/>
      <c r="Q144" s="2"/>
      <c r="R144" s="2"/>
      <c r="S144" s="2" t="s">
        <v>764</v>
      </c>
      <c r="U144" s="2" t="s">
        <v>740</v>
      </c>
    </row>
    <row r="145" spans="2:21" ht="76.5" x14ac:dyDescent="0.25">
      <c r="B145" s="12"/>
      <c r="C145" s="13" t="str">
        <f t="shared" si="10"/>
        <v>x</v>
      </c>
      <c r="D145" s="14" t="str">
        <f t="shared" si="13"/>
        <v>#Matete Nro 185
Muy hábil en el desgano
8 letras
#Juegodepalabras #adivinanzas #crucigramas</v>
      </c>
      <c r="E145" s="17"/>
      <c r="F145" s="17">
        <f t="shared" si="12"/>
        <v>92</v>
      </c>
      <c r="G145" s="6">
        <v>381809</v>
      </c>
      <c r="H145" s="1">
        <v>185</v>
      </c>
      <c r="I145" s="2" t="s">
        <v>638</v>
      </c>
      <c r="J145" s="2" t="s">
        <v>638</v>
      </c>
      <c r="K145" s="2" t="s">
        <v>639</v>
      </c>
      <c r="L145" s="2">
        <f t="shared" si="11"/>
        <v>8</v>
      </c>
      <c r="M145" s="2" t="s">
        <v>349</v>
      </c>
      <c r="N145" s="2" t="s">
        <v>3</v>
      </c>
      <c r="O145" s="1">
        <v>16</v>
      </c>
      <c r="P145" s="2"/>
      <c r="Q145" s="2"/>
      <c r="R145" s="2"/>
      <c r="S145" s="2" t="s">
        <v>640</v>
      </c>
      <c r="U145" s="2" t="s">
        <v>7</v>
      </c>
    </row>
    <row r="146" spans="2:21" ht="89.25" x14ac:dyDescent="0.25">
      <c r="B146" s="12"/>
      <c r="C146" s="13" t="str">
        <f t="shared" si="10"/>
        <v>x</v>
      </c>
      <c r="D146" s="14" t="str">
        <f t="shared" si="13"/>
        <v>#Matete Nro 582
Realiza un pozo en la planta acuática.
7 letras
#Juegodepalabras #adivinanzas #crucigramas</v>
      </c>
      <c r="E146" s="17"/>
      <c r="F146" s="17">
        <f t="shared" si="12"/>
        <v>107</v>
      </c>
      <c r="G146" s="6">
        <v>390052</v>
      </c>
      <c r="H146" s="1">
        <v>582</v>
      </c>
      <c r="I146" s="2" t="s">
        <v>1507</v>
      </c>
      <c r="J146" s="2" t="s">
        <v>1510</v>
      </c>
      <c r="K146" s="2" t="s">
        <v>1508</v>
      </c>
      <c r="L146" s="2">
        <f t="shared" si="11"/>
        <v>7</v>
      </c>
      <c r="M146" s="2"/>
      <c r="N146" s="2" t="s">
        <v>76</v>
      </c>
      <c r="O146" s="1">
        <v>34</v>
      </c>
      <c r="P146" s="2"/>
      <c r="Q146" s="2"/>
      <c r="R146" s="2"/>
      <c r="S146" s="2" t="s">
        <v>1509</v>
      </c>
      <c r="U146" s="2" t="s">
        <v>1423</v>
      </c>
    </row>
    <row r="147" spans="2:21" ht="76.5" x14ac:dyDescent="0.25">
      <c r="B147" s="12"/>
      <c r="C147" s="13" t="str">
        <f t="shared" si="10"/>
        <v>x</v>
      </c>
      <c r="D147" s="14" t="str">
        <f t="shared" si="13"/>
        <v>#Matete Nro 44
Arrojan infusiones
8 letras
#Juegodepalabras #adivinanzas #crucigramas</v>
      </c>
      <c r="E147" s="17"/>
      <c r="F147" s="17">
        <f t="shared" si="12"/>
        <v>86</v>
      </c>
      <c r="G147" s="6">
        <v>395858</v>
      </c>
      <c r="H147" s="1">
        <v>44</v>
      </c>
      <c r="I147" s="2" t="s">
        <v>159</v>
      </c>
      <c r="J147" s="2" t="s">
        <v>162</v>
      </c>
      <c r="K147" s="2" t="s">
        <v>160</v>
      </c>
      <c r="L147" s="2">
        <f t="shared" si="11"/>
        <v>8</v>
      </c>
      <c r="M147" s="2" t="s">
        <v>2</v>
      </c>
      <c r="N147" s="2" t="s">
        <v>3</v>
      </c>
      <c r="O147" s="1">
        <v>4</v>
      </c>
      <c r="P147" s="2"/>
      <c r="Q147" s="2"/>
      <c r="R147" s="2"/>
      <c r="S147" s="2" t="s">
        <v>161</v>
      </c>
      <c r="U147" s="2" t="s">
        <v>7</v>
      </c>
    </row>
    <row r="148" spans="2:21" ht="89.25" x14ac:dyDescent="0.25">
      <c r="B148" s="12"/>
      <c r="C148" s="13" t="str">
        <f t="shared" si="10"/>
        <v>x</v>
      </c>
      <c r="D148" s="14" t="str">
        <f t="shared" si="13"/>
        <v>#Matete Nro 121
En contra de que no me pertenezca
9 letras
#Juegodepalabras #adivinanzas #crucigramas</v>
      </c>
      <c r="E148" s="17"/>
      <c r="F148" s="17">
        <f t="shared" si="12"/>
        <v>102</v>
      </c>
      <c r="G148" s="6">
        <v>396564</v>
      </c>
      <c r="H148" s="1">
        <v>121</v>
      </c>
      <c r="I148" s="2" t="s">
        <v>430</v>
      </c>
      <c r="J148" s="2" t="s">
        <v>430</v>
      </c>
      <c r="K148" s="2" t="s">
        <v>431</v>
      </c>
      <c r="L148" s="2">
        <f t="shared" si="11"/>
        <v>9</v>
      </c>
      <c r="M148" s="2"/>
      <c r="N148" s="2" t="s">
        <v>83</v>
      </c>
      <c r="O148" s="1">
        <v>12</v>
      </c>
      <c r="P148" s="2"/>
      <c r="Q148" s="2"/>
      <c r="R148" s="2"/>
      <c r="S148" s="2" t="s">
        <v>432</v>
      </c>
      <c r="U148" s="2" t="s">
        <v>7</v>
      </c>
    </row>
    <row r="149" spans="2:21" ht="89.25" x14ac:dyDescent="0.25">
      <c r="B149" s="12"/>
      <c r="C149" s="13" t="str">
        <f t="shared" si="10"/>
        <v>x</v>
      </c>
      <c r="D149" s="14" t="str">
        <f t="shared" si="13"/>
        <v>#Matete Nro 448
Narración fabulosa con cinco dedos
8 letras
#Juegodepalabras #adivinanzas #crucigramas</v>
      </c>
      <c r="E149" s="17"/>
      <c r="F149" s="17">
        <f t="shared" si="12"/>
        <v>103</v>
      </c>
      <c r="G149" s="6">
        <v>399614</v>
      </c>
      <c r="H149" s="1">
        <v>448</v>
      </c>
      <c r="I149" s="2" t="s">
        <v>1296</v>
      </c>
      <c r="J149" s="2" t="s">
        <v>1300</v>
      </c>
      <c r="K149" s="2" t="s">
        <v>1297</v>
      </c>
      <c r="L149" s="2">
        <f t="shared" si="11"/>
        <v>8</v>
      </c>
      <c r="M149" s="2" t="s">
        <v>1298</v>
      </c>
      <c r="N149" s="2" t="s">
        <v>3</v>
      </c>
      <c r="O149" s="1">
        <v>31</v>
      </c>
      <c r="P149" s="2"/>
      <c r="Q149" s="2"/>
      <c r="R149" s="2"/>
      <c r="S149" s="2" t="s">
        <v>1299</v>
      </c>
      <c r="U149" s="2" t="s">
        <v>740</v>
      </c>
    </row>
    <row r="150" spans="2:21" ht="102" x14ac:dyDescent="0.25">
      <c r="B150" s="12"/>
      <c r="C150" s="13" t="str">
        <f t="shared" si="10"/>
        <v>x</v>
      </c>
      <c r="D150" s="14" t="str">
        <f t="shared" si="13"/>
        <v>#Matete Nro 676
Querer mucho a la materia que no tiene forma ni volumen propio
7 letras
#Juegodepalabras #adivinanzas #crucigramas</v>
      </c>
      <c r="E150" s="17"/>
      <c r="F150" s="17">
        <f t="shared" si="12"/>
        <v>131</v>
      </c>
      <c r="G150" s="6">
        <v>403296</v>
      </c>
      <c r="H150" s="1">
        <v>676</v>
      </c>
      <c r="I150" s="2" t="s">
        <v>1626</v>
      </c>
      <c r="J150" s="2" t="s">
        <v>1629</v>
      </c>
      <c r="K150" s="2" t="s">
        <v>1627</v>
      </c>
      <c r="L150" s="2">
        <f t="shared" si="11"/>
        <v>7</v>
      </c>
      <c r="M150" s="2"/>
      <c r="N150" s="2" t="s">
        <v>3</v>
      </c>
      <c r="O150" s="1">
        <v>35</v>
      </c>
      <c r="P150" s="2"/>
      <c r="Q150" s="2"/>
      <c r="R150" s="2"/>
      <c r="S150" s="2" t="s">
        <v>1628</v>
      </c>
      <c r="U150" s="2" t="s">
        <v>1423</v>
      </c>
    </row>
    <row r="151" spans="2:21" ht="89.25" x14ac:dyDescent="0.25">
      <c r="B151" s="12"/>
      <c r="C151" s="13" t="str">
        <f t="shared" si="10"/>
        <v>x</v>
      </c>
      <c r="D151" s="14" t="str">
        <f t="shared" si="13"/>
        <v>#Matete Nro 476
Quítate, parte del río por donde se puede cruzar
7 letras
#Juegodepalabras #adivinanzas #crucigramas</v>
      </c>
      <c r="E151" s="17"/>
      <c r="F151" s="17">
        <f t="shared" si="12"/>
        <v>117</v>
      </c>
      <c r="G151" s="6">
        <v>405430</v>
      </c>
      <c r="H151" s="1">
        <v>476</v>
      </c>
      <c r="I151" s="2" t="s">
        <v>1346</v>
      </c>
      <c r="J151" s="2" t="s">
        <v>1346</v>
      </c>
      <c r="K151" s="2" t="s">
        <v>1347</v>
      </c>
      <c r="L151" s="2">
        <f t="shared" si="11"/>
        <v>7</v>
      </c>
      <c r="M151" s="2"/>
      <c r="N151" s="2" t="s">
        <v>3</v>
      </c>
      <c r="O151" s="1">
        <v>32</v>
      </c>
      <c r="P151" s="2"/>
      <c r="Q151" s="2"/>
      <c r="R151" s="2"/>
      <c r="S151" s="2" t="s">
        <v>1348</v>
      </c>
      <c r="U151" s="2" t="s">
        <v>740</v>
      </c>
    </row>
    <row r="152" spans="2:21" ht="89.25" x14ac:dyDescent="0.25">
      <c r="B152" s="12"/>
      <c r="C152" s="13" t="str">
        <f t="shared" si="10"/>
        <v>x</v>
      </c>
      <c r="D152" s="14" t="str">
        <f t="shared" si="13"/>
        <v>#Matete Nro 100
El superhéroe de los colores brillantes
9 letras
#Juegodepalabras #adivinanzas #crucigramas</v>
      </c>
      <c r="E152" s="17"/>
      <c r="F152" s="17">
        <f t="shared" si="12"/>
        <v>108</v>
      </c>
      <c r="G152" s="6">
        <v>405446</v>
      </c>
      <c r="H152" s="1">
        <v>100</v>
      </c>
      <c r="I152" s="2" t="s">
        <v>355</v>
      </c>
      <c r="J152" s="2" t="s">
        <v>355</v>
      </c>
      <c r="K152" s="2" t="s">
        <v>356</v>
      </c>
      <c r="L152" s="2">
        <f t="shared" si="11"/>
        <v>9</v>
      </c>
      <c r="M152" s="2"/>
      <c r="N152" s="2" t="s">
        <v>3</v>
      </c>
      <c r="O152" s="1">
        <v>10</v>
      </c>
      <c r="P152" s="2"/>
      <c r="Q152" s="2"/>
      <c r="R152" s="2"/>
      <c r="S152" s="2" t="s">
        <v>357</v>
      </c>
      <c r="U152" s="2" t="s">
        <v>7</v>
      </c>
    </row>
    <row r="153" spans="2:21" ht="89.25" x14ac:dyDescent="0.25">
      <c r="B153" s="12"/>
      <c r="C153" s="13" t="str">
        <f t="shared" si="10"/>
        <v>x</v>
      </c>
      <c r="D153" s="14" t="str">
        <f t="shared" si="13"/>
        <v>#Matete Nro 230
La madre del ternero anticipada
8 letras
#Juegodepalabras #adivinanzas #crucigramas</v>
      </c>
      <c r="E153" s="17"/>
      <c r="F153" s="17">
        <f t="shared" si="12"/>
        <v>100</v>
      </c>
      <c r="G153" s="6">
        <v>406051</v>
      </c>
      <c r="H153" s="1">
        <v>230</v>
      </c>
      <c r="I153" s="2" t="s">
        <v>784</v>
      </c>
      <c r="J153" s="2" t="s">
        <v>787</v>
      </c>
      <c r="K153" s="2" t="s">
        <v>785</v>
      </c>
      <c r="L153" s="2">
        <f t="shared" si="11"/>
        <v>8</v>
      </c>
      <c r="M153" s="2"/>
      <c r="N153" s="2" t="s">
        <v>76</v>
      </c>
      <c r="O153" s="1">
        <v>19</v>
      </c>
      <c r="P153" s="2"/>
      <c r="Q153" s="2"/>
      <c r="R153" s="2"/>
      <c r="S153" s="2" t="s">
        <v>786</v>
      </c>
      <c r="U153" s="2" t="s">
        <v>740</v>
      </c>
    </row>
    <row r="154" spans="2:21" ht="89.25" x14ac:dyDescent="0.25">
      <c r="B154" s="12"/>
      <c r="C154" s="13" t="str">
        <f t="shared" si="10"/>
        <v>x</v>
      </c>
      <c r="D154" s="14" t="str">
        <f t="shared" si="13"/>
        <v>#Matete Nro 666
Traducción inversa de Lejana wave
6 letras
#Juegodepalabras #adivinanzas #crucigramas</v>
      </c>
      <c r="E154" s="17"/>
      <c r="F154" s="17">
        <f t="shared" si="12"/>
        <v>102</v>
      </c>
      <c r="G154" s="6">
        <v>408968</v>
      </c>
      <c r="H154" s="1">
        <v>666</v>
      </c>
      <c r="I154" s="2" t="s">
        <v>1611</v>
      </c>
      <c r="J154" s="2" t="s">
        <v>1614</v>
      </c>
      <c r="K154" s="2" t="s">
        <v>1612</v>
      </c>
      <c r="L154" s="2">
        <f t="shared" si="11"/>
        <v>6</v>
      </c>
      <c r="M154" s="2"/>
      <c r="N154" s="2" t="s">
        <v>195</v>
      </c>
      <c r="O154" s="1">
        <v>35</v>
      </c>
      <c r="P154" s="2"/>
      <c r="Q154" s="2"/>
      <c r="R154" s="2"/>
      <c r="S154" s="2" t="s">
        <v>1613</v>
      </c>
      <c r="U154" s="2" t="s">
        <v>1423</v>
      </c>
    </row>
    <row r="155" spans="2:21" ht="89.25" x14ac:dyDescent="0.25">
      <c r="B155" s="12"/>
      <c r="C155" s="13" t="str">
        <f t="shared" si="10"/>
        <v>x</v>
      </c>
      <c r="D155" s="14" t="str">
        <f t="shared" si="13"/>
        <v>#Matete Nro 334
Inteprete como símbolos lo que tiene la olla para asirla
6 letras
#Juegodepalabras #adivinanzas #crucigramas</v>
      </c>
      <c r="E155" s="17"/>
      <c r="F155" s="17">
        <f t="shared" si="12"/>
        <v>125</v>
      </c>
      <c r="G155" s="6">
        <v>410163</v>
      </c>
      <c r="H155" s="1">
        <v>334</v>
      </c>
      <c r="I155" s="2" t="s">
        <v>1103</v>
      </c>
      <c r="J155" s="2" t="s">
        <v>1103</v>
      </c>
      <c r="K155" s="2" t="s">
        <v>1104</v>
      </c>
      <c r="L155" s="2">
        <f t="shared" si="11"/>
        <v>6</v>
      </c>
      <c r="M155" s="2"/>
      <c r="N155" s="2" t="s">
        <v>3</v>
      </c>
      <c r="O155" s="1">
        <v>27</v>
      </c>
      <c r="P155" s="2"/>
      <c r="Q155" s="2"/>
      <c r="R155" s="2"/>
      <c r="S155" s="2" t="s">
        <v>1105</v>
      </c>
      <c r="U155" s="2" t="s">
        <v>740</v>
      </c>
    </row>
    <row r="156" spans="2:21" ht="89.25" x14ac:dyDescent="0.25">
      <c r="B156" s="12"/>
      <c r="C156" s="13" t="str">
        <f t="shared" si="10"/>
        <v>x</v>
      </c>
      <c r="D156" s="14" t="str">
        <f t="shared" si="13"/>
        <v>#Matete Nro 212
Podría ser la madre de Pinocho
8 letras
#Juegodepalabras #adivinanzas #crucigramas</v>
      </c>
      <c r="E156" s="17"/>
      <c r="F156" s="17">
        <f t="shared" si="12"/>
        <v>99</v>
      </c>
      <c r="G156" s="6">
        <v>412322</v>
      </c>
      <c r="H156" s="1">
        <v>212</v>
      </c>
      <c r="I156" s="2" t="s">
        <v>723</v>
      </c>
      <c r="J156" s="2" t="s">
        <v>723</v>
      </c>
      <c r="K156" s="2" t="s">
        <v>724</v>
      </c>
      <c r="L156" s="2">
        <f t="shared" si="11"/>
        <v>8</v>
      </c>
      <c r="M156" s="2" t="s">
        <v>349</v>
      </c>
      <c r="N156" s="2" t="s">
        <v>3</v>
      </c>
      <c r="O156" s="1">
        <v>17</v>
      </c>
      <c r="P156" s="2"/>
      <c r="Q156" s="2"/>
      <c r="R156" s="2"/>
      <c r="S156" s="2" t="s">
        <v>725</v>
      </c>
      <c r="U156" s="2" t="s">
        <v>7</v>
      </c>
    </row>
    <row r="157" spans="2:21" ht="102" x14ac:dyDescent="0.25">
      <c r="B157" s="12"/>
      <c r="C157" s="13" t="str">
        <f t="shared" si="10"/>
        <v>x</v>
      </c>
      <c r="D157" s="14" t="str">
        <f t="shared" si="13"/>
        <v>#Matete Nro 286
Ofrecía cosas para que la herramienta de la parca quisiera algo
9 letras
#Juegodepalabras #adivinanzas #crucigramas</v>
      </c>
      <c r="E157" s="17"/>
      <c r="F157" s="17">
        <f t="shared" si="12"/>
        <v>132</v>
      </c>
      <c r="G157" s="6">
        <v>413179</v>
      </c>
      <c r="H157" s="1">
        <v>286</v>
      </c>
      <c r="I157" s="2" t="s">
        <v>952</v>
      </c>
      <c r="J157" s="2" t="s">
        <v>955</v>
      </c>
      <c r="K157" s="2" t="s">
        <v>953</v>
      </c>
      <c r="L157" s="2">
        <f t="shared" si="11"/>
        <v>9</v>
      </c>
      <c r="M157" s="2"/>
      <c r="N157" s="2" t="s">
        <v>3</v>
      </c>
      <c r="O157" s="1">
        <v>22</v>
      </c>
      <c r="P157" s="2"/>
      <c r="Q157" s="2"/>
      <c r="R157" s="2"/>
      <c r="S157" s="2" t="s">
        <v>954</v>
      </c>
      <c r="U157" s="2" t="s">
        <v>740</v>
      </c>
    </row>
    <row r="158" spans="2:21" ht="89.25" x14ac:dyDescent="0.25">
      <c r="B158" s="15"/>
      <c r="C158" s="13" t="str">
        <f t="shared" si="10"/>
        <v>x</v>
      </c>
      <c r="D158" s="14" t="str">
        <f t="shared" si="13"/>
        <v>#Matete Nro 14
El número cuatro en función del tres
7 letras
#Juegodepalabras #adivinanzas #crucigramas</v>
      </c>
      <c r="E158" s="17"/>
      <c r="F158" s="17">
        <f t="shared" si="12"/>
        <v>104</v>
      </c>
      <c r="G158" s="6">
        <v>415693</v>
      </c>
      <c r="H158" s="1">
        <v>14</v>
      </c>
      <c r="I158" s="2" t="s">
        <v>54</v>
      </c>
      <c r="J158" s="2" t="s">
        <v>58</v>
      </c>
      <c r="K158" s="2" t="s">
        <v>55</v>
      </c>
      <c r="L158" s="2">
        <f t="shared" si="11"/>
        <v>7</v>
      </c>
      <c r="M158" s="2" t="s">
        <v>2</v>
      </c>
      <c r="N158" s="2" t="s">
        <v>3</v>
      </c>
      <c r="O158" s="1">
        <v>2</v>
      </c>
      <c r="P158" s="2" t="s">
        <v>56</v>
      </c>
      <c r="Q158" s="2"/>
      <c r="R158" s="2"/>
      <c r="S158" s="2" t="s">
        <v>57</v>
      </c>
      <c r="U158" s="2" t="s">
        <v>7</v>
      </c>
    </row>
    <row r="159" spans="2:21" ht="76.5" x14ac:dyDescent="0.25">
      <c r="B159" s="15"/>
      <c r="C159" s="13" t="str">
        <f t="shared" si="10"/>
        <v>x</v>
      </c>
      <c r="D159" s="14" t="str">
        <f t="shared" si="13"/>
        <v>#Matete Nro 18
Quita la suciedad al pan
7 letras
#Juegodepalabras #adivinanzas #crucigramas</v>
      </c>
      <c r="E159" s="17"/>
      <c r="F159" s="17">
        <f t="shared" si="12"/>
        <v>92</v>
      </c>
      <c r="G159" s="6">
        <v>417622</v>
      </c>
      <c r="H159" s="1">
        <v>18</v>
      </c>
      <c r="I159" s="2" t="s">
        <v>71</v>
      </c>
      <c r="J159" s="2" t="s">
        <v>71</v>
      </c>
      <c r="K159" s="2" t="s">
        <v>72</v>
      </c>
      <c r="L159" s="2">
        <f t="shared" si="11"/>
        <v>7</v>
      </c>
      <c r="M159" s="2" t="s">
        <v>39</v>
      </c>
      <c r="N159" s="2" t="s">
        <v>3</v>
      </c>
      <c r="O159" s="1">
        <v>2</v>
      </c>
      <c r="P159" s="2"/>
      <c r="Q159" s="2"/>
      <c r="R159" s="2"/>
      <c r="S159" s="2" t="s">
        <v>73</v>
      </c>
      <c r="U159" s="2" t="s">
        <v>7</v>
      </c>
    </row>
    <row r="160" spans="2:21" ht="89.25" x14ac:dyDescent="0.25">
      <c r="B160" s="12"/>
      <c r="C160" s="13" t="str">
        <f t="shared" si="10"/>
        <v>x</v>
      </c>
      <c r="D160" s="14" t="str">
        <f t="shared" si="13"/>
        <v>#Matete Nro 468
Una vocal sustrae una nota musical
9 letras
#Juegodepalabras #adivinanzas #crucigramas</v>
      </c>
      <c r="E160" s="17"/>
      <c r="F160" s="17">
        <f t="shared" si="12"/>
        <v>103</v>
      </c>
      <c r="G160" s="6">
        <v>418770</v>
      </c>
      <c r="H160" s="1">
        <v>468</v>
      </c>
      <c r="I160" s="2" t="s">
        <v>1332</v>
      </c>
      <c r="J160" s="2" t="s">
        <v>1335</v>
      </c>
      <c r="K160" s="2" t="s">
        <v>1333</v>
      </c>
      <c r="L160" s="2">
        <f t="shared" si="11"/>
        <v>9</v>
      </c>
      <c r="M160" s="2"/>
      <c r="N160" s="2" t="s">
        <v>83</v>
      </c>
      <c r="O160" s="1">
        <v>32</v>
      </c>
      <c r="P160" s="2"/>
      <c r="Q160" s="2"/>
      <c r="R160" s="2"/>
      <c r="S160" s="2" t="s">
        <v>1334</v>
      </c>
      <c r="U160" s="2" t="s">
        <v>740</v>
      </c>
    </row>
    <row r="161" spans="2:21" ht="76.5" x14ac:dyDescent="0.25">
      <c r="B161" s="12"/>
      <c r="C161" s="13" t="str">
        <f t="shared" si="10"/>
        <v>x</v>
      </c>
      <c r="D161" s="14" t="str">
        <f t="shared" si="13"/>
        <v>#Matete Nro 386
Excusa anterior al escrito
8 letras
#Juegodepalabras #adivinanzas #crucigramas</v>
      </c>
      <c r="E161" s="17"/>
      <c r="F161" s="17">
        <f t="shared" si="12"/>
        <v>95</v>
      </c>
      <c r="G161" s="6">
        <v>419544</v>
      </c>
      <c r="H161" s="1">
        <v>386</v>
      </c>
      <c r="I161" s="2" t="s">
        <v>1196</v>
      </c>
      <c r="J161" s="2" t="s">
        <v>1199</v>
      </c>
      <c r="K161" s="2" t="s">
        <v>1197</v>
      </c>
      <c r="L161" s="2">
        <f t="shared" si="11"/>
        <v>8</v>
      </c>
      <c r="M161" s="2"/>
      <c r="N161" s="2" t="s">
        <v>3</v>
      </c>
      <c r="O161" s="1">
        <v>29</v>
      </c>
      <c r="P161" s="2"/>
      <c r="Q161" s="2"/>
      <c r="R161" s="2"/>
      <c r="S161" s="2" t="s">
        <v>1198</v>
      </c>
      <c r="U161" s="2" t="s">
        <v>740</v>
      </c>
    </row>
    <row r="162" spans="2:21" ht="89.25" x14ac:dyDescent="0.25">
      <c r="B162" s="12"/>
      <c r="C162" s="13" t="str">
        <f t="shared" si="10"/>
        <v>x</v>
      </c>
      <c r="D162" s="14" t="str">
        <f t="shared" si="13"/>
        <v>#Matete Nro 191
Paseo turístico donde se va a beber
6 letras
#Juegodepalabras #adivinanzas #crucigramas</v>
      </c>
      <c r="E162" s="17"/>
      <c r="F162" s="17">
        <f t="shared" si="12"/>
        <v>104</v>
      </c>
      <c r="G162" s="6">
        <v>420218</v>
      </c>
      <c r="H162" s="1">
        <v>191</v>
      </c>
      <c r="I162" s="2" t="s">
        <v>660</v>
      </c>
      <c r="J162" s="2" t="s">
        <v>660</v>
      </c>
      <c r="K162" s="2" t="s">
        <v>661</v>
      </c>
      <c r="L162" s="2">
        <f t="shared" si="11"/>
        <v>6</v>
      </c>
      <c r="M162" s="2"/>
      <c r="N162" s="2" t="s">
        <v>3</v>
      </c>
      <c r="O162" s="1">
        <v>16</v>
      </c>
      <c r="P162" s="2"/>
      <c r="Q162" s="2"/>
      <c r="R162" s="2"/>
      <c r="S162" s="2" t="s">
        <v>662</v>
      </c>
      <c r="U162" s="2" t="s">
        <v>7</v>
      </c>
    </row>
    <row r="163" spans="2:21" ht="102" x14ac:dyDescent="0.25">
      <c r="B163" s="15"/>
      <c r="C163" s="13" t="str">
        <f t="shared" si="10"/>
        <v>x</v>
      </c>
      <c r="D163" s="14" t="str">
        <f t="shared" si="13"/>
        <v>#Matete Nro 15
Vidrio gracioso de características ópticas especiales
7 letras
#Juegodepalabras #adivinanzas #crucigramas</v>
      </c>
      <c r="E163" s="17"/>
      <c r="F163" s="17">
        <f t="shared" si="12"/>
        <v>121</v>
      </c>
      <c r="G163" s="6">
        <v>421143</v>
      </c>
      <c r="H163" s="1">
        <v>15</v>
      </c>
      <c r="I163" s="2" t="s">
        <v>59</v>
      </c>
      <c r="J163" s="2" t="s">
        <v>59</v>
      </c>
      <c r="K163" s="2" t="s">
        <v>60</v>
      </c>
      <c r="L163" s="2">
        <f t="shared" si="11"/>
        <v>7</v>
      </c>
      <c r="M163" s="2" t="s">
        <v>39</v>
      </c>
      <c r="N163" s="2" t="s">
        <v>3</v>
      </c>
      <c r="O163" s="1">
        <v>2</v>
      </c>
      <c r="P163" s="2" t="s">
        <v>61</v>
      </c>
      <c r="Q163" s="2"/>
      <c r="R163" s="2"/>
      <c r="S163" s="2" t="s">
        <v>62</v>
      </c>
      <c r="U163" s="2" t="s">
        <v>7</v>
      </c>
    </row>
    <row r="164" spans="2:21" ht="89.25" x14ac:dyDescent="0.25">
      <c r="B164" s="12"/>
      <c r="C164" s="13" t="str">
        <f t="shared" si="10"/>
        <v>x</v>
      </c>
      <c r="D164" s="14" t="str">
        <f t="shared" si="13"/>
        <v>#Matete Nro 508
Traducción combinada de suma more
7 letras
#Juegodepalabras #adivinanzas #crucigramas</v>
      </c>
      <c r="E164" s="17"/>
      <c r="F164" s="17">
        <f t="shared" si="12"/>
        <v>102</v>
      </c>
      <c r="G164" s="6">
        <v>421633</v>
      </c>
      <c r="H164" s="1">
        <v>508</v>
      </c>
      <c r="I164" s="2" t="s">
        <v>1393</v>
      </c>
      <c r="J164" s="2" t="s">
        <v>1396</v>
      </c>
      <c r="K164" s="2" t="s">
        <v>1394</v>
      </c>
      <c r="L164" s="2">
        <f t="shared" si="11"/>
        <v>7</v>
      </c>
      <c r="M164" s="2"/>
      <c r="N164" s="2" t="s">
        <v>195</v>
      </c>
      <c r="O164" s="1">
        <v>33</v>
      </c>
      <c r="P164" s="2"/>
      <c r="Q164" s="2"/>
      <c r="R164" s="2"/>
      <c r="S164" s="2" t="s">
        <v>1395</v>
      </c>
      <c r="U164" s="2" t="s">
        <v>740</v>
      </c>
    </row>
    <row r="165" spans="2:21" ht="76.5" x14ac:dyDescent="0.25">
      <c r="B165" s="12"/>
      <c r="C165" s="13" t="str">
        <f t="shared" si="10"/>
        <v>x</v>
      </c>
      <c r="D165" s="14" t="str">
        <f t="shared" si="13"/>
        <v>#Matete Nro 214
Sucede al juntarlos de a tres
8 letras
#Juegodepalabras #adivinanzas #crucigramas</v>
      </c>
      <c r="E165" s="17"/>
      <c r="F165" s="17">
        <f t="shared" si="12"/>
        <v>98</v>
      </c>
      <c r="G165" s="6">
        <v>423822</v>
      </c>
      <c r="H165" s="1">
        <v>214</v>
      </c>
      <c r="I165" s="2" t="s">
        <v>729</v>
      </c>
      <c r="J165" s="2" t="s">
        <v>729</v>
      </c>
      <c r="K165" s="2" t="s">
        <v>730</v>
      </c>
      <c r="L165" s="2">
        <f t="shared" si="11"/>
        <v>8</v>
      </c>
      <c r="M165" s="2"/>
      <c r="N165" s="2" t="s">
        <v>3</v>
      </c>
      <c r="O165" s="1">
        <v>17</v>
      </c>
      <c r="P165" s="2" t="s">
        <v>731</v>
      </c>
      <c r="Q165" s="2"/>
      <c r="R165" s="2"/>
      <c r="S165" s="2" t="s">
        <v>732</v>
      </c>
      <c r="U165" s="2" t="s">
        <v>7</v>
      </c>
    </row>
    <row r="166" spans="2:21" ht="89.25" x14ac:dyDescent="0.25">
      <c r="B166" s="12"/>
      <c r="C166" s="13" t="str">
        <f t="shared" si="10"/>
        <v>x</v>
      </c>
      <c r="D166" s="14" t="str">
        <f t="shared" si="13"/>
        <v>#Matete Nro 620
Lista de tres letras que forman un líquido graso
6 letras
#Juegodepalabras #adivinanzas #crucigramas</v>
      </c>
      <c r="E166" s="17"/>
      <c r="F166" s="17">
        <f t="shared" si="12"/>
        <v>117</v>
      </c>
      <c r="G166" s="6">
        <v>424357</v>
      </c>
      <c r="H166" s="1">
        <v>620</v>
      </c>
      <c r="I166" s="2" t="s">
        <v>1547</v>
      </c>
      <c r="J166" s="2" t="s">
        <v>1547</v>
      </c>
      <c r="K166" s="2" t="s">
        <v>1548</v>
      </c>
      <c r="L166" s="2">
        <f t="shared" si="11"/>
        <v>6</v>
      </c>
      <c r="M166" s="2"/>
      <c r="N166" s="2" t="s">
        <v>83</v>
      </c>
      <c r="O166" s="1">
        <v>35</v>
      </c>
      <c r="P166" s="2"/>
      <c r="Q166" s="2"/>
      <c r="R166" s="2"/>
      <c r="S166" s="2" t="s">
        <v>1549</v>
      </c>
      <c r="U166" s="2" t="s">
        <v>1423</v>
      </c>
    </row>
    <row r="167" spans="2:21" ht="102" x14ac:dyDescent="0.25">
      <c r="B167" s="12"/>
      <c r="C167" s="13" t="str">
        <f t="shared" si="10"/>
        <v>x</v>
      </c>
      <c r="D167" s="14" t="str">
        <f t="shared" si="13"/>
        <v>#Matete Nro 200
Concatenación de la interjección para asustar y la del susto
4 letras
#Juegodepalabras #adivinanzas #crucigramas</v>
      </c>
      <c r="E167" s="17"/>
      <c r="F167" s="17">
        <f t="shared" si="12"/>
        <v>129</v>
      </c>
      <c r="G167" s="6">
        <v>427136</v>
      </c>
      <c r="H167" s="1">
        <v>200</v>
      </c>
      <c r="I167" s="2" t="s">
        <v>691</v>
      </c>
      <c r="J167" s="2" t="s">
        <v>691</v>
      </c>
      <c r="K167" s="2" t="s">
        <v>692</v>
      </c>
      <c r="L167" s="2">
        <f t="shared" si="11"/>
        <v>4</v>
      </c>
      <c r="M167" s="2"/>
      <c r="N167" s="2" t="s">
        <v>3</v>
      </c>
      <c r="O167" s="1">
        <v>16</v>
      </c>
      <c r="P167" s="2"/>
      <c r="Q167" s="2"/>
      <c r="R167" s="2"/>
      <c r="S167" s="2" t="s">
        <v>693</v>
      </c>
      <c r="U167" s="2" t="s">
        <v>7</v>
      </c>
    </row>
    <row r="168" spans="2:21" ht="89.25" x14ac:dyDescent="0.25">
      <c r="B168" s="12"/>
      <c r="C168" s="13" t="str">
        <f t="shared" si="10"/>
        <v>x</v>
      </c>
      <c r="D168" s="14" t="str">
        <f t="shared" si="13"/>
        <v>#Matete Nro 382
Desafíe a duelo al lecho construído por las aves
8 letras
#Juegodepalabras #adivinanzas #crucigramas</v>
      </c>
      <c r="E168" s="17"/>
      <c r="F168" s="17">
        <f t="shared" si="12"/>
        <v>117</v>
      </c>
      <c r="G168" s="6">
        <v>429428</v>
      </c>
      <c r="H168" s="1">
        <v>382</v>
      </c>
      <c r="I168" s="2" t="s">
        <v>1189</v>
      </c>
      <c r="J168" s="2" t="s">
        <v>1192</v>
      </c>
      <c r="K168" s="2" t="s">
        <v>1190</v>
      </c>
      <c r="L168" s="2">
        <f t="shared" si="11"/>
        <v>8</v>
      </c>
      <c r="M168" s="2"/>
      <c r="N168" s="2" t="s">
        <v>3</v>
      </c>
      <c r="O168" s="1">
        <v>29</v>
      </c>
      <c r="P168" s="2"/>
      <c r="Q168" s="2"/>
      <c r="R168" s="2"/>
      <c r="S168" s="2" t="s">
        <v>1191</v>
      </c>
      <c r="U168" s="2" t="s">
        <v>740</v>
      </c>
    </row>
    <row r="169" spans="2:21" ht="89.25" x14ac:dyDescent="0.25">
      <c r="B169" s="12"/>
      <c r="C169" s="13" t="str">
        <f t="shared" si="10"/>
        <v>x</v>
      </c>
      <c r="D169" s="14" t="str">
        <f t="shared" si="13"/>
        <v>#Matete Nro 264
Pone de color dorado a la tranquila
10 letras
#Juegodepalabras #adivinanzas #crucigramas</v>
      </c>
      <c r="E169" s="17"/>
      <c r="F169" s="17">
        <f t="shared" si="12"/>
        <v>105</v>
      </c>
      <c r="G169" s="6">
        <v>431130</v>
      </c>
      <c r="H169" s="1">
        <v>264</v>
      </c>
      <c r="I169" s="2" t="s">
        <v>884</v>
      </c>
      <c r="J169" s="2" t="s">
        <v>884</v>
      </c>
      <c r="K169" s="2" t="s">
        <v>885</v>
      </c>
      <c r="L169" s="2">
        <f t="shared" si="11"/>
        <v>10</v>
      </c>
      <c r="M169" s="2"/>
      <c r="N169" s="2" t="s">
        <v>83</v>
      </c>
      <c r="O169" s="1">
        <v>21</v>
      </c>
      <c r="P169" s="2"/>
      <c r="Q169" s="2"/>
      <c r="R169" s="2"/>
      <c r="S169" s="2" t="s">
        <v>886</v>
      </c>
      <c r="U169" s="2" t="s">
        <v>740</v>
      </c>
    </row>
    <row r="170" spans="2:21" ht="89.25" x14ac:dyDescent="0.25">
      <c r="B170" s="12"/>
      <c r="C170" s="13" t="str">
        <f t="shared" si="10"/>
        <v>x</v>
      </c>
      <c r="D170" s="14" t="str">
        <f t="shared" si="13"/>
        <v>#Matete Nro 153
Astro luminoso de seis caras numeradas que va a la guerra
7 letras
#Juegodepalabras #adivinanzas #crucigramas</v>
      </c>
      <c r="E170" s="17"/>
      <c r="F170" s="17">
        <f t="shared" si="12"/>
        <v>126</v>
      </c>
      <c r="G170" s="6">
        <v>431450</v>
      </c>
      <c r="H170" s="1">
        <v>153</v>
      </c>
      <c r="I170" s="2" t="s">
        <v>535</v>
      </c>
      <c r="J170" s="2" t="s">
        <v>535</v>
      </c>
      <c r="K170" s="2" t="s">
        <v>536</v>
      </c>
      <c r="L170" s="2">
        <f t="shared" si="11"/>
        <v>7</v>
      </c>
      <c r="M170" s="2" t="s">
        <v>349</v>
      </c>
      <c r="N170" s="2" t="s">
        <v>3</v>
      </c>
      <c r="O170" s="1">
        <v>14</v>
      </c>
      <c r="P170" s="2"/>
      <c r="Q170" s="2"/>
      <c r="R170" s="2"/>
      <c r="S170" s="2" t="s">
        <v>537</v>
      </c>
      <c r="U170" s="2" t="s">
        <v>7</v>
      </c>
    </row>
    <row r="171" spans="2:21" ht="76.5" x14ac:dyDescent="0.25">
      <c r="B171" s="12"/>
      <c r="C171" s="13" t="str">
        <f t="shared" si="10"/>
        <v>x</v>
      </c>
      <c r="D171" s="14" t="str">
        <f t="shared" si="13"/>
        <v>#Matete Nro 343
Huir a la infusión china
10 letras
#Juegodepalabras #adivinanzas #crucigramas</v>
      </c>
      <c r="E171" s="17"/>
      <c r="F171" s="17">
        <f t="shared" si="12"/>
        <v>94</v>
      </c>
      <c r="G171" s="6">
        <v>433277</v>
      </c>
      <c r="H171" s="1">
        <v>343</v>
      </c>
      <c r="I171" s="2" t="s">
        <v>1126</v>
      </c>
      <c r="J171" s="2" t="s">
        <v>1126</v>
      </c>
      <c r="K171" s="2" t="s">
        <v>1127</v>
      </c>
      <c r="L171" s="2">
        <f t="shared" si="11"/>
        <v>10</v>
      </c>
      <c r="M171" s="2"/>
      <c r="N171" s="2" t="s">
        <v>83</v>
      </c>
      <c r="O171" s="1">
        <v>28</v>
      </c>
      <c r="P171" s="2"/>
      <c r="Q171" s="2"/>
      <c r="R171" s="2"/>
      <c r="S171" s="2" t="s">
        <v>1128</v>
      </c>
      <c r="U171" s="2" t="s">
        <v>740</v>
      </c>
    </row>
    <row r="172" spans="2:21" ht="89.25" x14ac:dyDescent="0.25">
      <c r="B172" s="12"/>
      <c r="C172" s="13" t="str">
        <f t="shared" si="10"/>
        <v>x</v>
      </c>
      <c r="D172" s="14" t="str">
        <f t="shared" si="13"/>
        <v>#Matete Nro 380
Baja temperatura de velocidad reducida
9 letras
#Juegodepalabras #adivinanzas #crucigramas</v>
      </c>
      <c r="E172" s="17"/>
      <c r="F172" s="17">
        <f t="shared" si="12"/>
        <v>107</v>
      </c>
      <c r="G172" s="6">
        <v>434314</v>
      </c>
      <c r="H172" s="1">
        <v>380</v>
      </c>
      <c r="I172" s="2" t="s">
        <v>1186</v>
      </c>
      <c r="J172" s="2" t="s">
        <v>1186</v>
      </c>
      <c r="K172" s="2" t="s">
        <v>1187</v>
      </c>
      <c r="L172" s="2">
        <f t="shared" si="11"/>
        <v>9</v>
      </c>
      <c r="M172" s="2"/>
      <c r="N172" s="2" t="s">
        <v>3</v>
      </c>
      <c r="O172" s="1">
        <v>29</v>
      </c>
      <c r="P172" s="2"/>
      <c r="Q172" s="2"/>
      <c r="R172" s="2"/>
      <c r="S172" s="2" t="s">
        <v>1188</v>
      </c>
      <c r="U172" s="2" t="s">
        <v>740</v>
      </c>
    </row>
    <row r="173" spans="2:21" ht="76.5" x14ac:dyDescent="0.25">
      <c r="B173" s="12"/>
      <c r="C173" s="13" t="str">
        <f t="shared" si="10"/>
        <v>x</v>
      </c>
      <c r="D173" s="14" t="str">
        <f t="shared" si="13"/>
        <v>#Matete Nro 413
Detiene cien centímetros
9 letras
#Juegodepalabras #adivinanzas #crucigramas</v>
      </c>
      <c r="E173" s="17"/>
      <c r="F173" s="17">
        <f t="shared" si="12"/>
        <v>93</v>
      </c>
      <c r="G173" s="6">
        <v>438204</v>
      </c>
      <c r="H173" s="1">
        <v>413</v>
      </c>
      <c r="I173" s="2" t="s">
        <v>1243</v>
      </c>
      <c r="J173" s="2" t="s">
        <v>1246</v>
      </c>
      <c r="K173" s="2" t="s">
        <v>1244</v>
      </c>
      <c r="L173" s="2">
        <f t="shared" si="11"/>
        <v>9</v>
      </c>
      <c r="M173" s="2" t="s">
        <v>68</v>
      </c>
      <c r="N173" s="2" t="s">
        <v>3</v>
      </c>
      <c r="O173" s="1">
        <v>29</v>
      </c>
      <c r="P173" s="2"/>
      <c r="Q173" s="2"/>
      <c r="R173" s="2"/>
      <c r="S173" s="2" t="s">
        <v>1245</v>
      </c>
      <c r="U173" s="2" t="s">
        <v>740</v>
      </c>
    </row>
    <row r="174" spans="2:21" ht="76.5" x14ac:dyDescent="0.25">
      <c r="B174" s="12"/>
      <c r="C174" s="13" t="str">
        <f t="shared" si="10"/>
        <v>x</v>
      </c>
      <c r="D174" s="14" t="str">
        <f t="shared" si="13"/>
        <v>#Matete Nro 132
No sería un auto en inglés
10 letras
#Juegodepalabras #adivinanzas #crucigramas</v>
      </c>
      <c r="E174" s="17"/>
      <c r="F174" s="17">
        <f t="shared" si="12"/>
        <v>96</v>
      </c>
      <c r="G174" s="6">
        <v>439947</v>
      </c>
      <c r="H174" s="1">
        <v>132</v>
      </c>
      <c r="I174" s="2" t="s">
        <v>467</v>
      </c>
      <c r="J174" s="2" t="s">
        <v>470</v>
      </c>
      <c r="K174" s="2" t="s">
        <v>468</v>
      </c>
      <c r="L174" s="2">
        <f t="shared" si="11"/>
        <v>10</v>
      </c>
      <c r="M174" s="2" t="s">
        <v>349</v>
      </c>
      <c r="N174" s="2" t="s">
        <v>195</v>
      </c>
      <c r="O174" s="1">
        <v>13</v>
      </c>
      <c r="P174" s="2"/>
      <c r="Q174" s="2"/>
      <c r="R174" s="2"/>
      <c r="S174" s="2" t="s">
        <v>469</v>
      </c>
      <c r="U174" s="2" t="s">
        <v>7</v>
      </c>
    </row>
    <row r="175" spans="2:21" ht="76.5" x14ac:dyDescent="0.25">
      <c r="B175" s="12"/>
      <c r="C175" s="13" t="str">
        <f t="shared" si="10"/>
        <v>x</v>
      </c>
      <c r="D175" s="14" t="str">
        <f t="shared" si="13"/>
        <v>#Matete Nro 546
Pongo al asador la púa
8 letras
#Juegodepalabras #adivinanzas #crucigramas</v>
      </c>
      <c r="E175" s="17"/>
      <c r="F175" s="17">
        <f t="shared" si="12"/>
        <v>91</v>
      </c>
      <c r="G175" s="6">
        <v>440559</v>
      </c>
      <c r="H175" s="1">
        <v>546</v>
      </c>
      <c r="I175" s="2" t="s">
        <v>1446</v>
      </c>
      <c r="J175" s="2" t="s">
        <v>1446</v>
      </c>
      <c r="K175" s="2" t="s">
        <v>1447</v>
      </c>
      <c r="L175" s="2">
        <f t="shared" si="11"/>
        <v>8</v>
      </c>
      <c r="M175" s="2" t="s">
        <v>68</v>
      </c>
      <c r="N175" s="2" t="s">
        <v>1448</v>
      </c>
      <c r="O175" s="1">
        <v>34</v>
      </c>
      <c r="P175" s="2"/>
      <c r="Q175" s="2"/>
      <c r="R175" s="2"/>
      <c r="S175" s="2" t="s">
        <v>1449</v>
      </c>
      <c r="U175" s="2" t="s">
        <v>1423</v>
      </c>
    </row>
    <row r="176" spans="2:21" ht="89.25" x14ac:dyDescent="0.25">
      <c r="B176" s="12"/>
      <c r="C176" s="13" t="str">
        <f t="shared" si="10"/>
        <v>x</v>
      </c>
      <c r="D176" s="14" t="str">
        <f t="shared" si="13"/>
        <v>#Matete Nro 208
Desfilan hermanas de la madre
9 letras
#Juegodepalabras #adivinanzas #crucigramas</v>
      </c>
      <c r="E176" s="17"/>
      <c r="F176" s="17">
        <f t="shared" si="12"/>
        <v>98</v>
      </c>
      <c r="G176" s="6">
        <v>441153</v>
      </c>
      <c r="H176" s="1">
        <v>208</v>
      </c>
      <c r="I176" s="2" t="s">
        <v>713</v>
      </c>
      <c r="J176" s="2" t="s">
        <v>716</v>
      </c>
      <c r="K176" s="2" t="s">
        <v>714</v>
      </c>
      <c r="L176" s="2">
        <f t="shared" si="11"/>
        <v>9</v>
      </c>
      <c r="M176" s="2"/>
      <c r="N176" s="2" t="s">
        <v>3</v>
      </c>
      <c r="O176" s="1">
        <v>17</v>
      </c>
      <c r="P176" s="2"/>
      <c r="Q176" s="2"/>
      <c r="R176" s="2"/>
      <c r="S176" s="2" t="s">
        <v>715</v>
      </c>
      <c r="U176" s="2" t="s">
        <v>7</v>
      </c>
    </row>
    <row r="177" spans="1:21" ht="102" x14ac:dyDescent="0.25">
      <c r="B177" s="12"/>
      <c r="C177" s="13" t="str">
        <f t="shared" si="10"/>
        <v>x</v>
      </c>
      <c r="D177" s="14" t="str">
        <f t="shared" si="13"/>
        <v>#Matete Nro 530
Colocar en una silla a una medida de superficie usada en agricultura
10 letras
#Juegodepalabras #adivinanzas #crucigramas</v>
      </c>
      <c r="E177" s="17"/>
      <c r="F177" s="17">
        <f t="shared" si="12"/>
        <v>138</v>
      </c>
      <c r="G177" s="6">
        <v>442067</v>
      </c>
      <c r="H177" s="1">
        <v>530</v>
      </c>
      <c r="I177" s="2" t="s">
        <v>1420</v>
      </c>
      <c r="J177" s="2" t="s">
        <v>1420</v>
      </c>
      <c r="K177" s="2" t="s">
        <v>1421</v>
      </c>
      <c r="L177" s="2">
        <f t="shared" si="11"/>
        <v>10</v>
      </c>
      <c r="M177" s="2"/>
      <c r="N177" s="2" t="s">
        <v>3</v>
      </c>
      <c r="O177" s="1">
        <v>33</v>
      </c>
      <c r="P177" s="2"/>
      <c r="Q177" s="2"/>
      <c r="R177" s="2"/>
      <c r="S177" s="2" t="s">
        <v>1422</v>
      </c>
      <c r="U177" s="2" t="s">
        <v>1423</v>
      </c>
    </row>
    <row r="178" spans="1:21" ht="89.25" x14ac:dyDescent="0.25">
      <c r="B178" s="12"/>
      <c r="C178" s="13" t="str">
        <f t="shared" si="10"/>
        <v>x</v>
      </c>
      <c r="D178" s="14" t="str">
        <f t="shared" si="13"/>
        <v>#Matete Nro 183
Previamente tenía ganas de tomar agua
8 letras
#Juegodepalabras #adivinanzas #crucigramas</v>
      </c>
      <c r="E178" s="17"/>
      <c r="F178" s="17">
        <f t="shared" si="12"/>
        <v>106</v>
      </c>
      <c r="G178" s="6">
        <v>443165</v>
      </c>
      <c r="H178" s="1">
        <v>183</v>
      </c>
      <c r="I178" s="2" t="s">
        <v>630</v>
      </c>
      <c r="J178" s="2" t="s">
        <v>633</v>
      </c>
      <c r="K178" s="2" t="s">
        <v>631</v>
      </c>
      <c r="L178" s="2">
        <f t="shared" si="11"/>
        <v>8</v>
      </c>
      <c r="M178" s="2" t="s">
        <v>349</v>
      </c>
      <c r="N178" s="2" t="s">
        <v>3</v>
      </c>
      <c r="O178" s="1">
        <v>16</v>
      </c>
      <c r="P178" s="2"/>
      <c r="Q178" s="2"/>
      <c r="R178" s="2"/>
      <c r="S178" s="2" t="s">
        <v>632</v>
      </c>
      <c r="U178" s="2" t="s">
        <v>7</v>
      </c>
    </row>
    <row r="179" spans="1:21" ht="89.25" x14ac:dyDescent="0.25">
      <c r="B179" s="12"/>
      <c r="C179" s="13" t="str">
        <f t="shared" si="10"/>
        <v>x</v>
      </c>
      <c r="D179" s="14" t="str">
        <f t="shared" si="13"/>
        <v>#Matete Nro 119
Señor inglés, utilice su sentido del olfato
7 letras
#Juegodepalabras #adivinanzas #crucigramas</v>
      </c>
      <c r="E179" s="17"/>
      <c r="F179" s="17">
        <f t="shared" si="12"/>
        <v>112</v>
      </c>
      <c r="G179" s="6">
        <v>446145</v>
      </c>
      <c r="H179" s="1">
        <v>119</v>
      </c>
      <c r="I179" s="2" t="s">
        <v>424</v>
      </c>
      <c r="J179" s="2" t="s">
        <v>424</v>
      </c>
      <c r="K179" s="2" t="s">
        <v>425</v>
      </c>
      <c r="L179" s="2">
        <f t="shared" si="11"/>
        <v>7</v>
      </c>
      <c r="M179" s="2"/>
      <c r="N179" s="2" t="s">
        <v>195</v>
      </c>
      <c r="O179" s="1">
        <v>12</v>
      </c>
      <c r="P179" s="2"/>
      <c r="Q179" s="2"/>
      <c r="R179" s="2"/>
      <c r="S179" s="2" t="s">
        <v>426</v>
      </c>
      <c r="U179" s="2" t="s">
        <v>7</v>
      </c>
    </row>
    <row r="180" spans="1:21" ht="89.25" x14ac:dyDescent="0.25">
      <c r="B180" s="12"/>
      <c r="C180" s="13" t="str">
        <f t="shared" si="10"/>
        <v>x</v>
      </c>
      <c r="D180" s="14" t="str">
        <f t="shared" si="13"/>
        <v>#Matete Nro 81
Perturbación atmosférica de inicios del abecedario
9 letras
#Juegodepalabras #adivinanzas #crucigramas</v>
      </c>
      <c r="E180" s="17"/>
      <c r="F180" s="17">
        <f t="shared" si="12"/>
        <v>118</v>
      </c>
      <c r="G180" s="6">
        <v>451106</v>
      </c>
      <c r="H180" s="1">
        <v>81</v>
      </c>
      <c r="I180" s="2" t="s">
        <v>285</v>
      </c>
      <c r="J180" s="2" t="s">
        <v>288</v>
      </c>
      <c r="K180" s="2" t="s">
        <v>286</v>
      </c>
      <c r="L180" s="2">
        <f t="shared" si="11"/>
        <v>9</v>
      </c>
      <c r="M180" s="2"/>
      <c r="N180" s="2" t="s">
        <v>3</v>
      </c>
      <c r="O180" s="1">
        <v>8</v>
      </c>
      <c r="P180" s="2"/>
      <c r="Q180" s="2"/>
      <c r="R180" s="2"/>
      <c r="S180" s="2" t="s">
        <v>287</v>
      </c>
      <c r="U180" s="2" t="s">
        <v>7</v>
      </c>
    </row>
    <row r="181" spans="1:21" ht="76.5" x14ac:dyDescent="0.25">
      <c r="B181" s="12"/>
      <c r="C181" s="13" t="str">
        <f t="shared" si="10"/>
        <v>x</v>
      </c>
      <c r="D181" s="14" t="str">
        <f t="shared" si="13"/>
        <v>#Matete Nro 252
Cubo con puntitos y Q
7 letras
#Juegodepalabras #adivinanzas #crucigramas</v>
      </c>
      <c r="E181" s="17"/>
      <c r="F181" s="17">
        <f t="shared" si="12"/>
        <v>90</v>
      </c>
      <c r="G181" s="6">
        <v>454113</v>
      </c>
      <c r="H181" s="1">
        <v>252</v>
      </c>
      <c r="I181" s="2" t="s">
        <v>843</v>
      </c>
      <c r="J181" s="2" t="s">
        <v>843</v>
      </c>
      <c r="K181" s="2" t="s">
        <v>844</v>
      </c>
      <c r="L181" s="2">
        <f t="shared" si="11"/>
        <v>7</v>
      </c>
      <c r="M181" s="2"/>
      <c r="N181" s="2" t="s">
        <v>83</v>
      </c>
      <c r="O181" s="1">
        <v>20</v>
      </c>
      <c r="P181" s="2"/>
      <c r="Q181" s="2"/>
      <c r="R181" s="2"/>
      <c r="S181" s="2" t="s">
        <v>845</v>
      </c>
      <c r="U181" s="2" t="s">
        <v>740</v>
      </c>
    </row>
    <row r="182" spans="1:21" ht="102" x14ac:dyDescent="0.25">
      <c r="B182" s="12"/>
      <c r="C182" s="13" t="str">
        <f t="shared" si="10"/>
        <v>x</v>
      </c>
      <c r="D182" s="14" t="str">
        <f t="shared" si="13"/>
        <v>#Matete Nro 168
Tú, menciona la comida de restaurante que se prepara al instante
8 letras
#Juegodepalabras #adivinanzas #crucigramas</v>
      </c>
      <c r="E182" s="17"/>
      <c r="F182" s="17">
        <f t="shared" si="12"/>
        <v>133</v>
      </c>
      <c r="G182" s="6">
        <v>455831</v>
      </c>
      <c r="H182" s="1">
        <v>168</v>
      </c>
      <c r="I182" s="2" t="s">
        <v>583</v>
      </c>
      <c r="J182" s="2" t="s">
        <v>583</v>
      </c>
      <c r="K182" s="2" t="s">
        <v>584</v>
      </c>
      <c r="L182" s="2">
        <f t="shared" si="11"/>
        <v>8</v>
      </c>
      <c r="M182" s="2" t="s">
        <v>349</v>
      </c>
      <c r="N182" s="2" t="s">
        <v>3</v>
      </c>
      <c r="O182" s="1">
        <v>15</v>
      </c>
      <c r="P182" s="2"/>
      <c r="Q182" s="2"/>
      <c r="R182" s="2"/>
      <c r="S182" s="2" t="s">
        <v>585</v>
      </c>
      <c r="U182" s="2" t="s">
        <v>7</v>
      </c>
    </row>
    <row r="183" spans="1:21" ht="76.5" x14ac:dyDescent="0.25">
      <c r="B183" s="12"/>
      <c r="C183" s="13" t="str">
        <f t="shared" ref="C183:C246" si="14">IF(B183&lt;&gt;"",WEEKDAY(B183),"x")</f>
        <v>x</v>
      </c>
      <c r="D183" s="14" t="str">
        <f t="shared" si="13"/>
        <v>#Matete Nro 714
Anteriormente dijo que no al si
11 letras
#Juegodepalabras #adivinanzas #crucigramas</v>
      </c>
      <c r="E183" s="17"/>
      <c r="F183" s="17">
        <f t="shared" si="12"/>
        <v>101</v>
      </c>
      <c r="G183" s="6">
        <v>470575</v>
      </c>
      <c r="H183" s="1">
        <v>714</v>
      </c>
      <c r="I183" s="2" t="s">
        <v>1684</v>
      </c>
      <c r="J183" s="2" t="s">
        <v>1684</v>
      </c>
      <c r="K183" s="2" t="s">
        <v>1685</v>
      </c>
      <c r="L183" s="2">
        <f t="shared" si="11"/>
        <v>11</v>
      </c>
      <c r="M183" s="2" t="s">
        <v>349</v>
      </c>
      <c r="N183" s="2" t="s">
        <v>83</v>
      </c>
      <c r="O183" s="1">
        <v>36</v>
      </c>
      <c r="P183" s="2"/>
      <c r="Q183" s="2"/>
      <c r="R183" s="2"/>
      <c r="S183" s="2" t="s">
        <v>1686</v>
      </c>
      <c r="U183" s="2" t="s">
        <v>1423</v>
      </c>
    </row>
    <row r="184" spans="1:21" ht="89.25" x14ac:dyDescent="0.25">
      <c r="B184" s="12"/>
      <c r="C184" s="13" t="str">
        <f t="shared" si="14"/>
        <v>x</v>
      </c>
      <c r="D184" s="14" t="str">
        <f t="shared" si="13"/>
        <v>#Matete Nro 668
Da en el blanco la materia gelatinosa
8 letras
#Juegodepalabras #adivinanzas #crucigramas</v>
      </c>
      <c r="E184" s="17"/>
      <c r="F184" s="17">
        <f t="shared" si="12"/>
        <v>106</v>
      </c>
      <c r="G184" s="6">
        <v>474418</v>
      </c>
      <c r="H184" s="1">
        <v>668</v>
      </c>
      <c r="I184" s="2" t="s">
        <v>1615</v>
      </c>
      <c r="J184" s="2" t="s">
        <v>1615</v>
      </c>
      <c r="K184" s="2" t="s">
        <v>1616</v>
      </c>
      <c r="L184" s="2">
        <f t="shared" si="11"/>
        <v>8</v>
      </c>
      <c r="M184" s="2"/>
      <c r="N184" s="2" t="s">
        <v>83</v>
      </c>
      <c r="O184" s="1">
        <v>35</v>
      </c>
      <c r="P184" s="2"/>
      <c r="Q184" s="2"/>
      <c r="R184" s="2"/>
      <c r="S184" s="2" t="s">
        <v>1617</v>
      </c>
      <c r="U184" s="2" t="s">
        <v>1423</v>
      </c>
    </row>
    <row r="185" spans="1:21" ht="76.5" x14ac:dyDescent="0.25">
      <c r="B185" s="12"/>
      <c r="C185" s="13" t="str">
        <f t="shared" si="14"/>
        <v>x</v>
      </c>
      <c r="D185" s="14" t="str">
        <f t="shared" si="13"/>
        <v>#Matete Nro 117
Paseo turístico de personas
8 letras
#Juegodepalabras #adivinanzas #crucigramas</v>
      </c>
      <c r="E185" s="17"/>
      <c r="F185" s="17">
        <f t="shared" si="12"/>
        <v>96</v>
      </c>
      <c r="G185" s="6">
        <v>474879</v>
      </c>
      <c r="H185" s="1">
        <v>117</v>
      </c>
      <c r="I185" s="2" t="s">
        <v>417</v>
      </c>
      <c r="J185" s="2" t="s">
        <v>417</v>
      </c>
      <c r="K185" s="2" t="s">
        <v>418</v>
      </c>
      <c r="L185" s="2">
        <f t="shared" si="11"/>
        <v>8</v>
      </c>
      <c r="M185" s="2" t="s">
        <v>349</v>
      </c>
      <c r="N185" s="2" t="s">
        <v>3</v>
      </c>
      <c r="O185" s="1">
        <v>12</v>
      </c>
      <c r="P185" s="2"/>
      <c r="Q185" s="2"/>
      <c r="R185" s="2"/>
      <c r="S185" s="2" t="s">
        <v>419</v>
      </c>
      <c r="U185" s="2" t="s">
        <v>7</v>
      </c>
    </row>
    <row r="186" spans="1:21" ht="89.25" x14ac:dyDescent="0.25">
      <c r="B186" s="15"/>
      <c r="C186" s="13" t="str">
        <f t="shared" si="14"/>
        <v>x</v>
      </c>
      <c r="D186" s="14" t="str">
        <f t="shared" si="13"/>
        <v>#Matete Nro 9
Entregues la habilidad de acertar
7 letras
#Juegodepalabras #adivinanzas #crucigramas</v>
      </c>
      <c r="E186" s="17"/>
      <c r="F186" s="17">
        <f t="shared" si="12"/>
        <v>100</v>
      </c>
      <c r="G186" s="6">
        <v>478758</v>
      </c>
      <c r="H186" s="1">
        <v>9</v>
      </c>
      <c r="I186" s="2" t="s">
        <v>33</v>
      </c>
      <c r="J186" s="2" t="s">
        <v>33</v>
      </c>
      <c r="K186" s="2" t="s">
        <v>34</v>
      </c>
      <c r="L186" s="2">
        <f t="shared" si="11"/>
        <v>7</v>
      </c>
      <c r="M186" s="2" t="s">
        <v>2</v>
      </c>
      <c r="N186" s="2" t="s">
        <v>3</v>
      </c>
      <c r="O186" s="1">
        <v>1</v>
      </c>
      <c r="P186" s="2" t="s">
        <v>35</v>
      </c>
      <c r="Q186" s="2"/>
      <c r="R186" s="2"/>
      <c r="S186" s="2" t="s">
        <v>36</v>
      </c>
      <c r="U186" s="2" t="s">
        <v>7</v>
      </c>
    </row>
    <row r="187" spans="1:21" ht="89.25" x14ac:dyDescent="0.25">
      <c r="B187" s="12"/>
      <c r="C187" s="13" t="str">
        <f t="shared" si="14"/>
        <v>x</v>
      </c>
      <c r="D187" s="14" t="str">
        <f t="shared" si="13"/>
        <v>#Matete Nro 392
Lugar de guardado que se forma con un espíritu budista
7 letras
#Juegodepalabras #adivinanzas #crucigramas</v>
      </c>
      <c r="E187" s="17"/>
      <c r="F187" s="17">
        <f t="shared" si="12"/>
        <v>123</v>
      </c>
      <c r="G187" s="6">
        <v>483624</v>
      </c>
      <c r="H187" s="1">
        <v>392</v>
      </c>
      <c r="I187" s="2" t="s">
        <v>1206</v>
      </c>
      <c r="J187" s="2" t="s">
        <v>1206</v>
      </c>
      <c r="K187" s="2" t="s">
        <v>1207</v>
      </c>
      <c r="L187" s="2">
        <f t="shared" si="11"/>
        <v>7</v>
      </c>
      <c r="M187" s="2"/>
      <c r="N187" s="2" t="s">
        <v>3</v>
      </c>
      <c r="O187" s="1">
        <v>29</v>
      </c>
      <c r="P187" s="2"/>
      <c r="Q187" s="2"/>
      <c r="R187" s="2"/>
      <c r="S187" s="2" t="s">
        <v>1208</v>
      </c>
      <c r="U187" s="2" t="s">
        <v>740</v>
      </c>
    </row>
    <row r="188" spans="1:21" ht="76.5" hidden="1" x14ac:dyDescent="0.25">
      <c r="A188" t="s">
        <v>1723</v>
      </c>
      <c r="B188" s="15">
        <v>44989</v>
      </c>
      <c r="C188" s="13">
        <f t="shared" si="14"/>
        <v>7</v>
      </c>
      <c r="D188" s="14" t="str">
        <f t="shared" ref="D188" si="15">"#Matete Nro "&amp;H188&amp;CHAR(10)&amp;K188&amp;CHAR(10)&amp;L188&amp;" letras"&amp;CHAR(10)&amp;CHAR(10)&amp;"#MateteDivergente"</f>
        <v>#Matete Nro 126
Segmento corto de adn moralista
8 letras
#MateteDivergente</v>
      </c>
      <c r="E188" s="17"/>
      <c r="F188" s="17"/>
      <c r="G188" s="6">
        <v>484175</v>
      </c>
      <c r="H188" s="1">
        <v>126</v>
      </c>
      <c r="I188" s="2" t="s">
        <v>447</v>
      </c>
      <c r="J188" s="2" t="s">
        <v>450</v>
      </c>
      <c r="K188" s="2" t="s">
        <v>448</v>
      </c>
      <c r="L188" s="2">
        <f t="shared" si="11"/>
        <v>8</v>
      </c>
      <c r="M188" s="2" t="s">
        <v>349</v>
      </c>
      <c r="N188" s="2" t="s">
        <v>3</v>
      </c>
      <c r="O188" s="1">
        <v>13</v>
      </c>
      <c r="P188" s="2"/>
      <c r="Q188" s="2"/>
      <c r="R188" s="2"/>
      <c r="S188" s="2" t="s">
        <v>449</v>
      </c>
      <c r="U188" s="2" t="s">
        <v>7</v>
      </c>
    </row>
    <row r="189" spans="1:21" ht="89.25" x14ac:dyDescent="0.25">
      <c r="B189" s="12"/>
      <c r="C189" s="13" t="str">
        <f t="shared" si="14"/>
        <v>x</v>
      </c>
      <c r="D189" s="14" t="str">
        <f t="shared" ref="D189:D252" si="16">"#Matete Nro "&amp;H189&amp;CHAR(10)&amp;K189&amp;CHAR(10)&amp;L189&amp;" letras"&amp;CHAR(10)&amp;CHAR(10)&amp;"#Juegodepalabras #adivinanzas #crucigramas"</f>
        <v>#Matete Nro 352
Hay suficiente espacio para el compuesto principal de la vela
8 letras
#Juegodepalabras #adivinanzas #crucigramas</v>
      </c>
      <c r="E189" s="17"/>
      <c r="F189" s="17">
        <f t="shared" ref="F189:F252" si="17">LEN(D189)</f>
        <v>130</v>
      </c>
      <c r="G189" s="6">
        <v>484413</v>
      </c>
      <c r="H189" s="1">
        <v>352</v>
      </c>
      <c r="I189" s="2" t="s">
        <v>1140</v>
      </c>
      <c r="J189" s="2" t="s">
        <v>1140</v>
      </c>
      <c r="K189" s="2" t="s">
        <v>1141</v>
      </c>
      <c r="L189" s="2">
        <f t="shared" si="11"/>
        <v>8</v>
      </c>
      <c r="M189" s="2"/>
      <c r="N189" s="2" t="s">
        <v>3</v>
      </c>
      <c r="O189" s="1">
        <v>29</v>
      </c>
      <c r="P189" s="2"/>
      <c r="Q189" s="2"/>
      <c r="R189" s="2"/>
      <c r="S189" s="2" t="s">
        <v>1142</v>
      </c>
      <c r="U189" s="2" t="s">
        <v>740</v>
      </c>
    </row>
    <row r="190" spans="1:21" ht="89.25" x14ac:dyDescent="0.25">
      <c r="B190" s="15"/>
      <c r="C190" s="13" t="str">
        <f t="shared" si="14"/>
        <v>x</v>
      </c>
      <c r="D190" s="14" t="str">
        <f t="shared" si="16"/>
        <v>#Matete Nro 6
Herramienta para cavar sin vista
9 letras
#Juegodepalabras #adivinanzas #crucigramas</v>
      </c>
      <c r="E190" s="17"/>
      <c r="F190" s="17">
        <f t="shared" si="17"/>
        <v>99</v>
      </c>
      <c r="G190" s="6">
        <v>488443</v>
      </c>
      <c r="H190" s="1">
        <v>6</v>
      </c>
      <c r="I190" s="2" t="s">
        <v>21</v>
      </c>
      <c r="J190" s="2" t="s">
        <v>21</v>
      </c>
      <c r="K190" s="2" t="s">
        <v>22</v>
      </c>
      <c r="L190" s="2">
        <f t="shared" si="11"/>
        <v>9</v>
      </c>
      <c r="M190" s="2" t="s">
        <v>2</v>
      </c>
      <c r="N190" s="2" t="s">
        <v>3</v>
      </c>
      <c r="O190" s="1">
        <v>1</v>
      </c>
      <c r="P190" s="2" t="s">
        <v>23</v>
      </c>
      <c r="Q190" s="2"/>
      <c r="R190" s="2"/>
      <c r="S190" s="2" t="s">
        <v>24</v>
      </c>
      <c r="U190" s="2" t="s">
        <v>7</v>
      </c>
    </row>
    <row r="191" spans="1:21" ht="89.25" x14ac:dyDescent="0.25">
      <c r="B191" s="12"/>
      <c r="C191" s="13" t="str">
        <f t="shared" si="14"/>
        <v>x</v>
      </c>
      <c r="D191" s="14" t="str">
        <f t="shared" si="16"/>
        <v>#Matete Nro 630
Traducción caprichosa al ingles de: y entonces
5 letras
#Juegodepalabras #adivinanzas #crucigramas</v>
      </c>
      <c r="E191" s="17"/>
      <c r="F191" s="17">
        <f t="shared" si="17"/>
        <v>115</v>
      </c>
      <c r="G191" s="6">
        <v>491281</v>
      </c>
      <c r="H191" s="1">
        <v>630</v>
      </c>
      <c r="I191" s="2" t="s">
        <v>1564</v>
      </c>
      <c r="J191" s="2" t="s">
        <v>1564</v>
      </c>
      <c r="K191" s="2" t="s">
        <v>1565</v>
      </c>
      <c r="L191" s="2">
        <f t="shared" si="11"/>
        <v>5</v>
      </c>
      <c r="M191" s="2"/>
      <c r="N191" s="2" t="s">
        <v>195</v>
      </c>
      <c r="O191" s="1">
        <v>35</v>
      </c>
      <c r="P191" s="2"/>
      <c r="Q191" s="2"/>
      <c r="R191" s="2"/>
      <c r="S191" s="2" t="s">
        <v>1566</v>
      </c>
      <c r="U191" s="2" t="s">
        <v>1423</v>
      </c>
    </row>
    <row r="192" spans="1:21" ht="89.25" x14ac:dyDescent="0.25">
      <c r="B192" s="12"/>
      <c r="C192" s="13" t="str">
        <f t="shared" si="14"/>
        <v>x</v>
      </c>
      <c r="D192" s="14" t="str">
        <f t="shared" si="16"/>
        <v>#Matete Nro 108
Hijo inglés del polvo blanco que se combina con cemento
6 letras
#Juegodepalabras #adivinanzas #crucigramas</v>
      </c>
      <c r="E192" s="17"/>
      <c r="F192" s="17">
        <f t="shared" si="17"/>
        <v>124</v>
      </c>
      <c r="G192" s="6">
        <v>491714</v>
      </c>
      <c r="H192" s="1">
        <v>108</v>
      </c>
      <c r="I192" s="2" t="s">
        <v>384</v>
      </c>
      <c r="J192" s="2" t="s">
        <v>384</v>
      </c>
      <c r="K192" s="2" t="s">
        <v>385</v>
      </c>
      <c r="L192" s="2">
        <f t="shared" si="11"/>
        <v>6</v>
      </c>
      <c r="M192" s="2" t="s">
        <v>349</v>
      </c>
      <c r="N192" s="2" t="s">
        <v>195</v>
      </c>
      <c r="O192" s="1">
        <v>11</v>
      </c>
      <c r="P192" s="2"/>
      <c r="Q192" s="2"/>
      <c r="R192" s="2"/>
      <c r="S192" s="2" t="s">
        <v>386</v>
      </c>
      <c r="U192" s="2" t="s">
        <v>7</v>
      </c>
    </row>
    <row r="193" spans="2:21" ht="102" x14ac:dyDescent="0.25">
      <c r="B193" s="12"/>
      <c r="C193" s="13" t="str">
        <f t="shared" si="14"/>
        <v>x</v>
      </c>
      <c r="D193" s="14" t="str">
        <f t="shared" si="16"/>
        <v>#Matete Nro 275
Medio de transporte que le gusta al maquinista masoquista
8 letras
#Juegodepalabras #adivinanzas #crucigramas</v>
      </c>
      <c r="E193" s="17"/>
      <c r="F193" s="17">
        <f t="shared" si="17"/>
        <v>126</v>
      </c>
      <c r="G193" s="6">
        <v>494096</v>
      </c>
      <c r="H193" s="1">
        <v>275</v>
      </c>
      <c r="I193" s="2" t="s">
        <v>920</v>
      </c>
      <c r="J193" s="2" t="s">
        <v>923</v>
      </c>
      <c r="K193" s="2" t="s">
        <v>921</v>
      </c>
      <c r="L193" s="2">
        <f t="shared" si="11"/>
        <v>8</v>
      </c>
      <c r="M193" s="2"/>
      <c r="N193" s="2" t="s">
        <v>3</v>
      </c>
      <c r="O193" s="1">
        <v>21</v>
      </c>
      <c r="P193" s="2"/>
      <c r="Q193" s="2"/>
      <c r="R193" s="2"/>
      <c r="S193" s="2" t="s">
        <v>922</v>
      </c>
      <c r="U193" s="2" t="s">
        <v>740</v>
      </c>
    </row>
    <row r="194" spans="2:21" ht="89.25" x14ac:dyDescent="0.25">
      <c r="B194" s="12"/>
      <c r="C194" s="13" t="str">
        <f t="shared" si="14"/>
        <v>x</v>
      </c>
      <c r="D194" s="14" t="str">
        <f t="shared" si="16"/>
        <v>#Matete Nro 678
Cuerpo celeste que forma parte de la boca
10 letras
#Juegodepalabras #adivinanzas #crucigramas</v>
      </c>
      <c r="E194" s="17"/>
      <c r="F194" s="17">
        <f t="shared" si="17"/>
        <v>111</v>
      </c>
      <c r="G194" s="6">
        <v>497091</v>
      </c>
      <c r="H194" s="1">
        <v>678</v>
      </c>
      <c r="I194" s="2" t="s">
        <v>1630</v>
      </c>
      <c r="J194" s="2" t="s">
        <v>1630</v>
      </c>
      <c r="K194" s="2" t="s">
        <v>1631</v>
      </c>
      <c r="L194" s="2">
        <f t="shared" ref="L194:L257" si="18">LEN(I194)</f>
        <v>10</v>
      </c>
      <c r="M194" s="2"/>
      <c r="N194" s="2" t="s">
        <v>3</v>
      </c>
      <c r="O194" s="1">
        <v>35</v>
      </c>
      <c r="P194" s="2"/>
      <c r="Q194" s="2"/>
      <c r="R194" s="2"/>
      <c r="S194" s="2" t="s">
        <v>1632</v>
      </c>
      <c r="U194" s="2" t="s">
        <v>1423</v>
      </c>
    </row>
    <row r="195" spans="2:21" ht="102" x14ac:dyDescent="0.25">
      <c r="B195" s="12"/>
      <c r="C195" s="13" t="str">
        <f t="shared" si="14"/>
        <v>x</v>
      </c>
      <c r="D195" s="14" t="str">
        <f t="shared" si="16"/>
        <v>#Matete Nro 205
Pelota utilizada en algunos deportes que posee cuatro patas y muge
8 letras
#Juegodepalabras #adivinanzas #crucigramas</v>
      </c>
      <c r="E195" s="17"/>
      <c r="F195" s="17">
        <f t="shared" si="17"/>
        <v>135</v>
      </c>
      <c r="G195" s="6">
        <v>497476</v>
      </c>
      <c r="H195" s="1">
        <v>205</v>
      </c>
      <c r="I195" s="2" t="s">
        <v>701</v>
      </c>
      <c r="J195" s="2" t="s">
        <v>704</v>
      </c>
      <c r="K195" s="2" t="s">
        <v>702</v>
      </c>
      <c r="L195" s="2">
        <f t="shared" si="18"/>
        <v>8</v>
      </c>
      <c r="M195" s="2" t="s">
        <v>68</v>
      </c>
      <c r="N195" s="2" t="s">
        <v>3</v>
      </c>
      <c r="O195" s="1">
        <v>17</v>
      </c>
      <c r="P195" s="2"/>
      <c r="Q195" s="2"/>
      <c r="R195" s="2"/>
      <c r="S195" s="2" t="s">
        <v>703</v>
      </c>
      <c r="U195" s="2" t="s">
        <v>7</v>
      </c>
    </row>
    <row r="196" spans="2:21" ht="89.25" x14ac:dyDescent="0.25">
      <c r="B196" s="12"/>
      <c r="C196" s="13" t="str">
        <f t="shared" si="14"/>
        <v>x</v>
      </c>
      <c r="D196" s="14" t="str">
        <f t="shared" si="16"/>
        <v>#Matete Nro 674
Asi sea que permanece despierto toda la noche
7 letras
#Juegodepalabras #adivinanzas #crucigramas</v>
      </c>
      <c r="E196" s="17"/>
      <c r="F196" s="17">
        <f t="shared" si="17"/>
        <v>114</v>
      </c>
      <c r="G196" s="6">
        <v>499610</v>
      </c>
      <c r="H196" s="1">
        <v>674</v>
      </c>
      <c r="I196" s="2" t="s">
        <v>1622</v>
      </c>
      <c r="J196" s="2" t="s">
        <v>1625</v>
      </c>
      <c r="K196" s="2" t="s">
        <v>1623</v>
      </c>
      <c r="L196" s="2">
        <f t="shared" si="18"/>
        <v>7</v>
      </c>
      <c r="M196" s="2"/>
      <c r="N196" s="2" t="s">
        <v>76</v>
      </c>
      <c r="O196" s="1">
        <v>35</v>
      </c>
      <c r="P196" s="2"/>
      <c r="Q196" s="2"/>
      <c r="R196" s="2"/>
      <c r="S196" s="2" t="s">
        <v>1624</v>
      </c>
      <c r="U196" s="2" t="s">
        <v>1423</v>
      </c>
    </row>
    <row r="197" spans="2:21" ht="89.25" x14ac:dyDescent="0.25">
      <c r="B197" s="12"/>
      <c r="C197" s="13" t="str">
        <f t="shared" si="14"/>
        <v>x</v>
      </c>
      <c r="D197" s="14" t="str">
        <f t="shared" si="16"/>
        <v>#Matete Nro 28
No contiene lo que hace al piso resbaladizo
7 letras
#Juegodepalabras #adivinanzas #crucigramas</v>
      </c>
      <c r="E197" s="17"/>
      <c r="F197" s="17">
        <f t="shared" si="17"/>
        <v>111</v>
      </c>
      <c r="G197" s="6">
        <v>502613</v>
      </c>
      <c r="H197" s="1">
        <v>28</v>
      </c>
      <c r="I197" s="2" t="s">
        <v>102</v>
      </c>
      <c r="J197" s="2" t="s">
        <v>102</v>
      </c>
      <c r="K197" s="2" t="s">
        <v>103</v>
      </c>
      <c r="L197" s="2">
        <f t="shared" si="18"/>
        <v>7</v>
      </c>
      <c r="M197" s="2" t="s">
        <v>2</v>
      </c>
      <c r="N197" s="2" t="s">
        <v>3</v>
      </c>
      <c r="O197" s="1">
        <v>3</v>
      </c>
      <c r="P197" s="2" t="s">
        <v>104</v>
      </c>
      <c r="Q197" s="2"/>
      <c r="R197" s="2"/>
      <c r="S197" s="2" t="s">
        <v>105</v>
      </c>
      <c r="U197" s="2" t="s">
        <v>7</v>
      </c>
    </row>
    <row r="198" spans="2:21" ht="89.25" x14ac:dyDescent="0.25">
      <c r="B198" s="12"/>
      <c r="C198" s="13" t="str">
        <f t="shared" si="14"/>
        <v>x</v>
      </c>
      <c r="D198" s="14" t="str">
        <f t="shared" si="16"/>
        <v>#Matete Nro 318
Tiene mayor precio y cubre la cara
7 letras
#Juegodepalabras #adivinanzas #crucigramas</v>
      </c>
      <c r="E198" s="17"/>
      <c r="F198" s="17">
        <f t="shared" si="17"/>
        <v>103</v>
      </c>
      <c r="G198" s="6">
        <v>503512</v>
      </c>
      <c r="H198" s="1">
        <v>318</v>
      </c>
      <c r="I198" s="2" t="s">
        <v>1051</v>
      </c>
      <c r="J198" s="2" t="s">
        <v>1055</v>
      </c>
      <c r="K198" s="2" t="s">
        <v>1052</v>
      </c>
      <c r="L198" s="2">
        <f t="shared" si="18"/>
        <v>7</v>
      </c>
      <c r="M198" s="2"/>
      <c r="N198" s="2" t="s">
        <v>3</v>
      </c>
      <c r="O198" s="1">
        <v>25</v>
      </c>
      <c r="P198" s="2" t="s">
        <v>1053</v>
      </c>
      <c r="Q198" s="2"/>
      <c r="R198" s="2"/>
      <c r="S198" s="2" t="s">
        <v>1054</v>
      </c>
      <c r="U198" s="2" t="s">
        <v>740</v>
      </c>
    </row>
    <row r="199" spans="2:21" ht="89.25" x14ac:dyDescent="0.25">
      <c r="B199" s="12"/>
      <c r="C199" s="13" t="str">
        <f t="shared" si="14"/>
        <v>x</v>
      </c>
      <c r="D199" s="14" t="str">
        <f t="shared" si="16"/>
        <v>#Matete Nro 326
Me desplazo en la bebida que toman los ingleses a las 17:00
8 letras
#Juegodepalabras #adivinanzas #crucigramas</v>
      </c>
      <c r="E199" s="17"/>
      <c r="F199" s="17">
        <f t="shared" si="17"/>
        <v>128</v>
      </c>
      <c r="G199" s="6">
        <v>503520</v>
      </c>
      <c r="H199" s="1">
        <v>326</v>
      </c>
      <c r="I199" s="2" t="s">
        <v>1079</v>
      </c>
      <c r="J199" s="2" t="s">
        <v>1079</v>
      </c>
      <c r="K199" s="2" t="s">
        <v>1080</v>
      </c>
      <c r="L199" s="2">
        <f t="shared" si="18"/>
        <v>8</v>
      </c>
      <c r="M199" s="2"/>
      <c r="N199" s="2"/>
      <c r="O199" s="1">
        <v>27</v>
      </c>
      <c r="P199" s="2"/>
      <c r="Q199" s="2"/>
      <c r="R199" s="2"/>
      <c r="S199" s="2" t="s">
        <v>1081</v>
      </c>
      <c r="U199" s="2" t="s">
        <v>740</v>
      </c>
    </row>
    <row r="200" spans="2:21" ht="89.25" x14ac:dyDescent="0.25">
      <c r="B200" s="15"/>
      <c r="C200" s="13" t="str">
        <f t="shared" si="14"/>
        <v>x</v>
      </c>
      <c r="D200" s="14" t="str">
        <f t="shared" si="16"/>
        <v>#Matete Nro 20
Padre del príncipe de la negación
5 letras
#Juegodepalabras #adivinanzas #crucigramas</v>
      </c>
      <c r="E200" s="17"/>
      <c r="F200" s="17">
        <f t="shared" si="17"/>
        <v>101</v>
      </c>
      <c r="G200" s="6">
        <v>507256</v>
      </c>
      <c r="H200" s="1">
        <v>20</v>
      </c>
      <c r="I200" s="2" t="s">
        <v>78</v>
      </c>
      <c r="J200" s="2" t="s">
        <v>78</v>
      </c>
      <c r="K200" s="2" t="s">
        <v>79</v>
      </c>
      <c r="L200" s="2">
        <f t="shared" si="18"/>
        <v>5</v>
      </c>
      <c r="M200" s="2" t="s">
        <v>2</v>
      </c>
      <c r="N200" s="2" t="s">
        <v>3</v>
      </c>
      <c r="O200" s="1">
        <v>2</v>
      </c>
      <c r="P200" s="2"/>
      <c r="Q200" s="2"/>
      <c r="R200" s="2"/>
      <c r="S200" s="2" t="s">
        <v>80</v>
      </c>
      <c r="U200" s="2" t="s">
        <v>7</v>
      </c>
    </row>
    <row r="201" spans="2:21" ht="76.5" x14ac:dyDescent="0.25">
      <c r="B201" s="12"/>
      <c r="C201" s="13" t="str">
        <f t="shared" si="14"/>
        <v>x</v>
      </c>
      <c r="D201" s="14" t="str">
        <f t="shared" si="16"/>
        <v>#Matete Nro 115
Pájaro que alienta a la letra k
6 letras
#Juegodepalabras #adivinanzas #crucigramas</v>
      </c>
      <c r="E201" s="17"/>
      <c r="F201" s="17">
        <f t="shared" si="17"/>
        <v>100</v>
      </c>
      <c r="G201" s="6">
        <v>510620</v>
      </c>
      <c r="H201" s="1">
        <v>115</v>
      </c>
      <c r="I201" s="2" t="s">
        <v>411</v>
      </c>
      <c r="J201" s="2" t="s">
        <v>411</v>
      </c>
      <c r="K201" s="2" t="s">
        <v>412</v>
      </c>
      <c r="L201" s="2">
        <f t="shared" si="18"/>
        <v>6</v>
      </c>
      <c r="M201" s="2"/>
      <c r="N201" s="2" t="s">
        <v>3</v>
      </c>
      <c r="O201" s="1">
        <v>11</v>
      </c>
      <c r="P201" s="2"/>
      <c r="Q201" s="2"/>
      <c r="R201" s="2"/>
      <c r="S201" s="2" t="s">
        <v>413</v>
      </c>
      <c r="U201" s="2" t="s">
        <v>7</v>
      </c>
    </row>
    <row r="202" spans="2:21" ht="89.25" x14ac:dyDescent="0.25">
      <c r="B202" s="12"/>
      <c r="C202" s="13" t="str">
        <f t="shared" si="14"/>
        <v>x</v>
      </c>
      <c r="D202" s="14" t="str">
        <f t="shared" si="16"/>
        <v>#Matete Nro 398
Percibí con los ojos un conjunto de personas
7 letras
#Juegodepalabras #adivinanzas #crucigramas</v>
      </c>
      <c r="E202" s="17"/>
      <c r="F202" s="17">
        <f t="shared" si="17"/>
        <v>113</v>
      </c>
      <c r="G202" s="6">
        <v>510691</v>
      </c>
      <c r="H202" s="1">
        <v>398</v>
      </c>
      <c r="I202" s="2" t="s">
        <v>1217</v>
      </c>
      <c r="J202" s="2" t="s">
        <v>1220</v>
      </c>
      <c r="K202" s="2" t="s">
        <v>1218</v>
      </c>
      <c r="L202" s="2">
        <f t="shared" si="18"/>
        <v>7</v>
      </c>
      <c r="M202" s="2"/>
      <c r="N202" s="2" t="s">
        <v>3</v>
      </c>
      <c r="O202" s="1">
        <v>29</v>
      </c>
      <c r="P202" s="2"/>
      <c r="Q202" s="2"/>
      <c r="R202" s="2"/>
      <c r="S202" s="2" t="s">
        <v>1219</v>
      </c>
      <c r="U202" s="2" t="s">
        <v>740</v>
      </c>
    </row>
    <row r="203" spans="2:21" ht="76.5" x14ac:dyDescent="0.25">
      <c r="B203" s="12"/>
      <c r="C203" s="13" t="str">
        <f t="shared" si="14"/>
        <v>x</v>
      </c>
      <c r="D203" s="14" t="str">
        <f t="shared" si="16"/>
        <v>#Matete Nro 602
Risa positiva
5 letras
#Juegodepalabras #adivinanzas #crucigramas</v>
      </c>
      <c r="E203" s="17"/>
      <c r="F203" s="17">
        <f t="shared" si="17"/>
        <v>82</v>
      </c>
      <c r="G203" s="6">
        <v>512410</v>
      </c>
      <c r="H203" s="1">
        <v>602</v>
      </c>
      <c r="I203" s="2" t="s">
        <v>1533</v>
      </c>
      <c r="J203" s="2" t="s">
        <v>1536</v>
      </c>
      <c r="K203" s="2" t="s">
        <v>1534</v>
      </c>
      <c r="L203" s="2">
        <f t="shared" si="18"/>
        <v>5</v>
      </c>
      <c r="M203" s="2"/>
      <c r="N203" s="2" t="s">
        <v>3</v>
      </c>
      <c r="O203" s="1">
        <v>35</v>
      </c>
      <c r="P203" s="2"/>
      <c r="Q203" s="2"/>
      <c r="R203" s="2"/>
      <c r="S203" s="2" t="s">
        <v>1535</v>
      </c>
      <c r="U203" s="2" t="s">
        <v>1423</v>
      </c>
    </row>
    <row r="204" spans="2:21" ht="76.5" x14ac:dyDescent="0.25">
      <c r="B204" s="12"/>
      <c r="C204" s="13" t="str">
        <f t="shared" si="14"/>
        <v>x</v>
      </c>
      <c r="D204" s="14" t="str">
        <f t="shared" si="16"/>
        <v>#Matete Nro 45
Degustación a mucha distancia
9 letras
#Juegodepalabras #adivinanzas #crucigramas</v>
      </c>
      <c r="E204" s="17"/>
      <c r="F204" s="17">
        <f t="shared" si="17"/>
        <v>97</v>
      </c>
      <c r="G204" s="6">
        <v>521076</v>
      </c>
      <c r="H204" s="1">
        <v>45</v>
      </c>
      <c r="I204" s="2" t="s">
        <v>163</v>
      </c>
      <c r="J204" s="2" t="s">
        <v>166</v>
      </c>
      <c r="K204" s="2" t="s">
        <v>164</v>
      </c>
      <c r="L204" s="2">
        <f t="shared" si="18"/>
        <v>9</v>
      </c>
      <c r="M204" s="2" t="s">
        <v>39</v>
      </c>
      <c r="N204" s="2" t="s">
        <v>3</v>
      </c>
      <c r="O204" s="1">
        <v>4</v>
      </c>
      <c r="P204" s="2"/>
      <c r="Q204" s="2"/>
      <c r="R204" s="2"/>
      <c r="S204" s="2" t="s">
        <v>165</v>
      </c>
      <c r="U204" s="2" t="s">
        <v>7</v>
      </c>
    </row>
    <row r="205" spans="2:21" ht="76.5" x14ac:dyDescent="0.25">
      <c r="B205" s="12"/>
      <c r="C205" s="13" t="str">
        <f t="shared" si="14"/>
        <v>x</v>
      </c>
      <c r="D205" s="14" t="str">
        <f t="shared" si="16"/>
        <v>#Matete Nro 488
Ruido que rebota no es mono
9 letras
#Juegodepalabras #adivinanzas #crucigramas</v>
      </c>
      <c r="E205" s="17"/>
      <c r="F205" s="17">
        <f t="shared" si="17"/>
        <v>96</v>
      </c>
      <c r="G205" s="6">
        <v>523430</v>
      </c>
      <c r="H205" s="1">
        <v>488</v>
      </c>
      <c r="I205" s="2" t="s">
        <v>1364</v>
      </c>
      <c r="J205" s="2" t="s">
        <v>1367</v>
      </c>
      <c r="K205" s="2" t="s">
        <v>1365</v>
      </c>
      <c r="L205" s="2">
        <f t="shared" si="18"/>
        <v>9</v>
      </c>
      <c r="M205" s="2"/>
      <c r="N205" s="2" t="s">
        <v>83</v>
      </c>
      <c r="O205" s="1">
        <v>32</v>
      </c>
      <c r="P205" s="2"/>
      <c r="Q205" s="2"/>
      <c r="R205" s="2"/>
      <c r="S205" s="2" t="s">
        <v>1366</v>
      </c>
      <c r="U205" s="2" t="s">
        <v>740</v>
      </c>
    </row>
    <row r="206" spans="2:21" ht="89.25" x14ac:dyDescent="0.25">
      <c r="B206" s="12"/>
      <c r="C206" s="13" t="str">
        <f t="shared" si="14"/>
        <v>x</v>
      </c>
      <c r="D206" s="14" t="str">
        <f t="shared" si="16"/>
        <v>#Matete Nro 110
El apócope de María se desplaza por el agua
8 letras
#Juegodepalabras #adivinanzas #crucigramas</v>
      </c>
      <c r="E206" s="17"/>
      <c r="F206" s="17">
        <f t="shared" si="17"/>
        <v>112</v>
      </c>
      <c r="G206" s="6">
        <v>525491</v>
      </c>
      <c r="H206" s="1">
        <v>110</v>
      </c>
      <c r="I206" s="2" t="s">
        <v>391</v>
      </c>
      <c r="J206" s="2" t="s">
        <v>391</v>
      </c>
      <c r="K206" s="2" t="s">
        <v>392</v>
      </c>
      <c r="L206" s="2">
        <f t="shared" si="18"/>
        <v>8</v>
      </c>
      <c r="M206" s="2" t="s">
        <v>360</v>
      </c>
      <c r="N206" s="2" t="s">
        <v>3</v>
      </c>
      <c r="O206" s="1">
        <v>11</v>
      </c>
      <c r="P206" s="2"/>
      <c r="Q206" s="2"/>
      <c r="R206" s="2"/>
      <c r="S206" s="2" t="s">
        <v>393</v>
      </c>
      <c r="U206" s="2" t="s">
        <v>7</v>
      </c>
    </row>
    <row r="207" spans="2:21" ht="89.25" x14ac:dyDescent="0.25">
      <c r="B207" s="12"/>
      <c r="C207" s="13" t="str">
        <f t="shared" si="14"/>
        <v>x</v>
      </c>
      <c r="D207" s="14" t="str">
        <f t="shared" si="16"/>
        <v>#Matete Nro 123
Oneroso utilizando su antónimo
9 letras
#Juegodepalabras #adivinanzas #crucigramas</v>
      </c>
      <c r="E207" s="17"/>
      <c r="F207" s="17">
        <f t="shared" si="17"/>
        <v>99</v>
      </c>
      <c r="G207" s="6">
        <v>528446</v>
      </c>
      <c r="H207" s="1">
        <v>123</v>
      </c>
      <c r="I207" s="2" t="s">
        <v>437</v>
      </c>
      <c r="J207" s="2" t="s">
        <v>440</v>
      </c>
      <c r="K207" s="2" t="s">
        <v>438</v>
      </c>
      <c r="L207" s="2">
        <f t="shared" si="18"/>
        <v>9</v>
      </c>
      <c r="M207" s="2" t="s">
        <v>349</v>
      </c>
      <c r="N207" s="2" t="s">
        <v>3</v>
      </c>
      <c r="O207" s="1">
        <v>12</v>
      </c>
      <c r="P207" s="2"/>
      <c r="Q207" s="2"/>
      <c r="R207" s="2"/>
      <c r="S207" s="2" t="s">
        <v>439</v>
      </c>
      <c r="U207" s="2" t="s">
        <v>7</v>
      </c>
    </row>
    <row r="208" spans="2:21" ht="102" x14ac:dyDescent="0.25">
      <c r="B208" s="12"/>
      <c r="C208" s="13" t="str">
        <f t="shared" si="14"/>
        <v>x</v>
      </c>
      <c r="D208" s="14" t="str">
        <f t="shared" si="16"/>
        <v>#Matete Nro 301
Alentar a una mujer que atiende una mesa de un bar como si fuera un caballo
7 letras
#Juegodepalabras #adivinanzas #crucigramas</v>
      </c>
      <c r="E208" s="17"/>
      <c r="F208" s="17">
        <f t="shared" si="17"/>
        <v>144</v>
      </c>
      <c r="G208" s="6">
        <v>533442</v>
      </c>
      <c r="H208" s="1">
        <v>301</v>
      </c>
      <c r="I208" s="2" t="s">
        <v>998</v>
      </c>
      <c r="J208" s="2" t="s">
        <v>998</v>
      </c>
      <c r="K208" s="2" t="s">
        <v>999</v>
      </c>
      <c r="L208" s="2">
        <f t="shared" si="18"/>
        <v>7</v>
      </c>
      <c r="M208" s="2"/>
      <c r="N208" s="2" t="s">
        <v>3</v>
      </c>
      <c r="O208" s="1">
        <v>23</v>
      </c>
      <c r="P208" s="2"/>
      <c r="Q208" s="2"/>
      <c r="R208" s="2"/>
      <c r="S208" s="2" t="s">
        <v>1000</v>
      </c>
      <c r="U208" s="2" t="s">
        <v>740</v>
      </c>
    </row>
    <row r="209" spans="2:21" ht="89.25" x14ac:dyDescent="0.25">
      <c r="B209" s="15"/>
      <c r="C209" s="13" t="str">
        <f t="shared" si="14"/>
        <v>x</v>
      </c>
      <c r="D209" s="14" t="str">
        <f t="shared" si="16"/>
        <v>#Matete Nro 23
Uno más uno en la primera letra
6 letras
#Juegodepalabras #adivinanzas #crucigramas</v>
      </c>
      <c r="E209" s="17"/>
      <c r="F209" s="17">
        <f t="shared" si="17"/>
        <v>99</v>
      </c>
      <c r="G209" s="6">
        <v>539998</v>
      </c>
      <c r="H209" s="1">
        <v>23</v>
      </c>
      <c r="I209" s="2" t="s">
        <v>81</v>
      </c>
      <c r="J209" s="2" t="s">
        <v>81</v>
      </c>
      <c r="K209" s="2" t="s">
        <v>82</v>
      </c>
      <c r="L209" s="2">
        <f t="shared" si="18"/>
        <v>6</v>
      </c>
      <c r="M209" s="2" t="s">
        <v>39</v>
      </c>
      <c r="N209" s="2" t="s">
        <v>83</v>
      </c>
      <c r="O209" s="1">
        <v>2</v>
      </c>
      <c r="P209" s="2" t="s">
        <v>84</v>
      </c>
      <c r="Q209" s="2"/>
      <c r="R209" s="2"/>
      <c r="S209" s="2" t="s">
        <v>85</v>
      </c>
      <c r="U209" s="2" t="s">
        <v>7</v>
      </c>
    </row>
    <row r="210" spans="2:21" ht="89.25" x14ac:dyDescent="0.25">
      <c r="B210" s="12"/>
      <c r="C210" s="13" t="str">
        <f t="shared" si="14"/>
        <v>x</v>
      </c>
      <c r="D210" s="14" t="str">
        <f t="shared" si="16"/>
        <v>#Matete Nro 234
Deseo grande y peludo de tomar agua
6 letras
#Juegodepalabras #adivinanzas #crucigramas</v>
      </c>
      <c r="E210" s="17"/>
      <c r="F210" s="17">
        <f t="shared" si="17"/>
        <v>104</v>
      </c>
      <c r="G210" s="6">
        <v>543528</v>
      </c>
      <c r="H210" s="1">
        <v>234</v>
      </c>
      <c r="I210" s="2" t="s">
        <v>795</v>
      </c>
      <c r="J210" s="2" t="s">
        <v>795</v>
      </c>
      <c r="K210" s="2" t="s">
        <v>796</v>
      </c>
      <c r="L210" s="2">
        <f t="shared" si="18"/>
        <v>6</v>
      </c>
      <c r="M210" s="2"/>
      <c r="N210" s="2" t="s">
        <v>3</v>
      </c>
      <c r="O210" s="1">
        <v>19</v>
      </c>
      <c r="P210" s="2"/>
      <c r="Q210" s="2"/>
      <c r="R210" s="2"/>
      <c r="S210" s="2" t="s">
        <v>797</v>
      </c>
      <c r="U210" s="2" t="s">
        <v>740</v>
      </c>
    </row>
    <row r="211" spans="2:21" ht="89.25" x14ac:dyDescent="0.25">
      <c r="B211" s="12"/>
      <c r="C211" s="13" t="str">
        <f t="shared" si="14"/>
        <v>x</v>
      </c>
      <c r="D211" s="14" t="str">
        <f t="shared" si="16"/>
        <v>#Matete Nro 217
Estoy enamorado del pago de facturas
7 letras
#Juegodepalabras #adivinanzas #crucigramas</v>
      </c>
      <c r="E211" s="17"/>
      <c r="F211" s="17">
        <f t="shared" si="17"/>
        <v>105</v>
      </c>
      <c r="G211" s="6">
        <v>547932</v>
      </c>
      <c r="H211" s="1">
        <v>217</v>
      </c>
      <c r="I211" s="2" t="s">
        <v>737</v>
      </c>
      <c r="J211" s="2" t="s">
        <v>737</v>
      </c>
      <c r="K211" s="2" t="s">
        <v>738</v>
      </c>
      <c r="L211" s="2">
        <f t="shared" si="18"/>
        <v>7</v>
      </c>
      <c r="M211" s="2"/>
      <c r="N211" s="2" t="s">
        <v>76</v>
      </c>
      <c r="O211" s="1">
        <v>18</v>
      </c>
      <c r="P211" s="2"/>
      <c r="Q211" s="2"/>
      <c r="R211" s="2"/>
      <c r="S211" s="2" t="s">
        <v>739</v>
      </c>
      <c r="U211" s="2" t="s">
        <v>740</v>
      </c>
    </row>
    <row r="212" spans="2:21" ht="76.5" x14ac:dyDescent="0.25">
      <c r="B212" s="12"/>
      <c r="C212" s="13" t="str">
        <f t="shared" si="14"/>
        <v>x</v>
      </c>
      <c r="D212" s="14" t="str">
        <f t="shared" si="16"/>
        <v>#Matete Nro 128
Dúo en género textil
9 letras
#Juegodepalabras #adivinanzas #crucigramas</v>
      </c>
      <c r="E212" s="17"/>
      <c r="F212" s="17">
        <f t="shared" si="17"/>
        <v>89</v>
      </c>
      <c r="G212" s="6">
        <v>548159</v>
      </c>
      <c r="H212" s="1">
        <v>128</v>
      </c>
      <c r="I212" s="2" t="s">
        <v>454</v>
      </c>
      <c r="J212" s="2" t="s">
        <v>454</v>
      </c>
      <c r="K212" s="2" t="s">
        <v>455</v>
      </c>
      <c r="L212" s="2">
        <f t="shared" si="18"/>
        <v>9</v>
      </c>
      <c r="M212" s="2" t="s">
        <v>349</v>
      </c>
      <c r="N212" s="2" t="s">
        <v>83</v>
      </c>
      <c r="O212" s="1">
        <v>13</v>
      </c>
      <c r="P212" s="2"/>
      <c r="Q212" s="2"/>
      <c r="R212" s="2"/>
      <c r="S212" s="2" t="s">
        <v>456</v>
      </c>
      <c r="U212" s="2" t="s">
        <v>7</v>
      </c>
    </row>
    <row r="213" spans="2:21" ht="89.25" x14ac:dyDescent="0.25">
      <c r="B213" s="12"/>
      <c r="C213" s="13" t="str">
        <f t="shared" si="14"/>
        <v>x</v>
      </c>
      <c r="D213" s="14" t="str">
        <f t="shared" si="16"/>
        <v>#Matete Nro 235
No deja grietas en el talento innato
8 letras
#Juegodepalabras #adivinanzas #crucigramas</v>
      </c>
      <c r="E213" s="17"/>
      <c r="F213" s="17">
        <f t="shared" si="17"/>
        <v>105</v>
      </c>
      <c r="G213" s="6">
        <v>549200</v>
      </c>
      <c r="H213" s="1">
        <v>235</v>
      </c>
      <c r="I213" s="2" t="s">
        <v>798</v>
      </c>
      <c r="J213" s="2" t="s">
        <v>798</v>
      </c>
      <c r="K213" s="2" t="s">
        <v>799</v>
      </c>
      <c r="L213" s="2">
        <f t="shared" si="18"/>
        <v>8</v>
      </c>
      <c r="M213" s="2"/>
      <c r="N213" s="2" t="s">
        <v>3</v>
      </c>
      <c r="O213" s="1">
        <v>19</v>
      </c>
      <c r="P213" s="2"/>
      <c r="Q213" s="2"/>
      <c r="R213" s="2"/>
      <c r="S213" s="2" t="s">
        <v>800</v>
      </c>
      <c r="U213" s="2" t="s">
        <v>740</v>
      </c>
    </row>
    <row r="214" spans="2:21" ht="89.25" x14ac:dyDescent="0.25">
      <c r="B214" s="12"/>
      <c r="C214" s="13" t="str">
        <f t="shared" si="14"/>
        <v>x</v>
      </c>
      <c r="D214" s="14" t="str">
        <f t="shared" si="16"/>
        <v>#Matete Nro 247
Conozco la Q que sostiene los dientes
9 letras
#Juegodepalabras #adivinanzas #crucigramas</v>
      </c>
      <c r="E214" s="17"/>
      <c r="F214" s="17">
        <f t="shared" si="17"/>
        <v>106</v>
      </c>
      <c r="G214" s="6">
        <v>552057</v>
      </c>
      <c r="H214" s="1">
        <v>247</v>
      </c>
      <c r="I214" s="2" t="s">
        <v>826</v>
      </c>
      <c r="J214" s="2" t="s">
        <v>826</v>
      </c>
      <c r="K214" s="2" t="s">
        <v>827</v>
      </c>
      <c r="L214" s="2">
        <f t="shared" si="18"/>
        <v>9</v>
      </c>
      <c r="M214" s="2"/>
      <c r="N214" s="2" t="s">
        <v>83</v>
      </c>
      <c r="O214" s="1">
        <v>20</v>
      </c>
      <c r="P214" s="2"/>
      <c r="Q214" s="2"/>
      <c r="R214" s="2"/>
      <c r="S214" s="2" t="s">
        <v>828</v>
      </c>
      <c r="U214" s="2" t="s">
        <v>740</v>
      </c>
    </row>
    <row r="215" spans="2:21" ht="89.25" x14ac:dyDescent="0.25">
      <c r="B215" s="12"/>
      <c r="C215" s="13" t="str">
        <f t="shared" si="14"/>
        <v>x</v>
      </c>
      <c r="D215" s="14" t="str">
        <f t="shared" si="16"/>
        <v>#Matete Nro 622
Consonante que confecciona ropa a medida
8 letras
#Juegodepalabras #adivinanzas #crucigramas</v>
      </c>
      <c r="E215" s="17"/>
      <c r="F215" s="17">
        <f t="shared" si="17"/>
        <v>109</v>
      </c>
      <c r="G215" s="6">
        <v>554755</v>
      </c>
      <c r="H215" s="1">
        <v>622</v>
      </c>
      <c r="I215" s="2" t="s">
        <v>1550</v>
      </c>
      <c r="J215" s="2" t="s">
        <v>1550</v>
      </c>
      <c r="K215" s="2" t="s">
        <v>1551</v>
      </c>
      <c r="L215" s="2">
        <f t="shared" si="18"/>
        <v>8</v>
      </c>
      <c r="M215" s="2"/>
      <c r="N215" s="2" t="s">
        <v>3</v>
      </c>
      <c r="O215" s="1">
        <v>35</v>
      </c>
      <c r="P215" s="2"/>
      <c r="Q215" s="2"/>
      <c r="R215" s="2"/>
      <c r="S215" s="2" t="s">
        <v>1552</v>
      </c>
      <c r="U215" s="2" t="s">
        <v>1423</v>
      </c>
    </row>
    <row r="216" spans="2:21" ht="89.25" x14ac:dyDescent="0.25">
      <c r="B216" s="15"/>
      <c r="C216" s="13" t="str">
        <f t="shared" si="14"/>
        <v>x</v>
      </c>
      <c r="D216" s="14" t="str">
        <f t="shared" si="16"/>
        <v>#Matete Nro 16
Tipo de libro que niega una forma de iluminar antigua
6 letras
#Juegodepalabras #adivinanzas #crucigramas</v>
      </c>
      <c r="E216" s="17"/>
      <c r="F216" s="17">
        <f t="shared" si="17"/>
        <v>121</v>
      </c>
      <c r="G216" s="6">
        <v>555761</v>
      </c>
      <c r="H216" s="1">
        <v>16</v>
      </c>
      <c r="I216" s="2" t="s">
        <v>63</v>
      </c>
      <c r="J216" s="2" t="s">
        <v>63</v>
      </c>
      <c r="K216" s="2" t="s">
        <v>64</v>
      </c>
      <c r="L216" s="2">
        <f t="shared" si="18"/>
        <v>6</v>
      </c>
      <c r="M216" s="2" t="s">
        <v>2</v>
      </c>
      <c r="N216" s="2" t="s">
        <v>3</v>
      </c>
      <c r="O216" s="1">
        <v>2</v>
      </c>
      <c r="P216" s="2"/>
      <c r="Q216" s="2"/>
      <c r="R216" s="2"/>
      <c r="S216" s="2" t="s">
        <v>65</v>
      </c>
      <c r="U216" s="2" t="s">
        <v>7</v>
      </c>
    </row>
    <row r="217" spans="2:21" ht="76.5" x14ac:dyDescent="0.25">
      <c r="B217" s="12"/>
      <c r="C217" s="13" t="str">
        <f t="shared" si="14"/>
        <v>x</v>
      </c>
      <c r="D217" s="14" t="str">
        <f t="shared" si="16"/>
        <v>#Matete Nro 259
Océano y estornudo
9 letras
#Juegodepalabras #adivinanzas #crucigramas</v>
      </c>
      <c r="E217" s="17"/>
      <c r="F217" s="17">
        <f t="shared" si="17"/>
        <v>87</v>
      </c>
      <c r="G217" s="6">
        <v>556486</v>
      </c>
      <c r="H217" s="1">
        <v>259</v>
      </c>
      <c r="I217" s="2" t="s">
        <v>866</v>
      </c>
      <c r="J217" s="2" t="s">
        <v>869</v>
      </c>
      <c r="K217" s="2" t="s">
        <v>867</v>
      </c>
      <c r="L217" s="2">
        <f t="shared" si="18"/>
        <v>9</v>
      </c>
      <c r="M217" s="2"/>
      <c r="N217" s="2" t="s">
        <v>83</v>
      </c>
      <c r="O217" s="1">
        <v>21</v>
      </c>
      <c r="P217" s="2"/>
      <c r="Q217" s="2"/>
      <c r="R217" s="2"/>
      <c r="S217" s="2" t="s">
        <v>868</v>
      </c>
      <c r="U217" s="2" t="s">
        <v>740</v>
      </c>
    </row>
    <row r="218" spans="2:21" ht="89.25" x14ac:dyDescent="0.25">
      <c r="B218" s="12"/>
      <c r="C218" s="13" t="str">
        <f t="shared" si="14"/>
        <v>x</v>
      </c>
      <c r="D218" s="14" t="str">
        <f t="shared" si="16"/>
        <v>#Matete Nro 32
Vaca que se repite como un sonido que rebota
6 letras
#Juegodepalabras #adivinanzas #crucigramas</v>
      </c>
      <c r="E218" s="17"/>
      <c r="F218" s="17">
        <f t="shared" si="17"/>
        <v>112</v>
      </c>
      <c r="G218" s="6">
        <v>556875</v>
      </c>
      <c r="H218" s="1">
        <v>32</v>
      </c>
      <c r="I218" s="2" t="s">
        <v>118</v>
      </c>
      <c r="J218" s="2" t="s">
        <v>118</v>
      </c>
      <c r="K218" s="2" t="s">
        <v>119</v>
      </c>
      <c r="L218" s="2">
        <f t="shared" si="18"/>
        <v>6</v>
      </c>
      <c r="M218" s="2" t="s">
        <v>2</v>
      </c>
      <c r="N218" s="2" t="s">
        <v>3</v>
      </c>
      <c r="O218" s="1">
        <v>3</v>
      </c>
      <c r="P218" s="2"/>
      <c r="Q218" s="2"/>
      <c r="R218" s="2"/>
      <c r="S218" s="2" t="s">
        <v>120</v>
      </c>
      <c r="U218" s="2" t="s">
        <v>7</v>
      </c>
    </row>
    <row r="219" spans="2:21" ht="76.5" x14ac:dyDescent="0.25">
      <c r="B219" s="12"/>
      <c r="C219" s="13" t="str">
        <f t="shared" si="14"/>
        <v>x</v>
      </c>
      <c r="D219" s="14" t="str">
        <f t="shared" si="16"/>
        <v>#Matete Nro 632
Quites la cáscara al progenitor
7 letras
#Juegodepalabras #adivinanzas #crucigramas</v>
      </c>
      <c r="E219" s="17"/>
      <c r="F219" s="17">
        <f t="shared" si="17"/>
        <v>100</v>
      </c>
      <c r="G219" s="6">
        <v>558021</v>
      </c>
      <c r="H219" s="1">
        <v>632</v>
      </c>
      <c r="I219" s="2" t="s">
        <v>1567</v>
      </c>
      <c r="J219" s="2" t="s">
        <v>1570</v>
      </c>
      <c r="K219" s="2" t="s">
        <v>1568</v>
      </c>
      <c r="L219" s="2">
        <f t="shared" si="18"/>
        <v>7</v>
      </c>
      <c r="M219" s="2"/>
      <c r="N219" s="2" t="s">
        <v>3</v>
      </c>
      <c r="O219" s="1">
        <v>35</v>
      </c>
      <c r="P219" s="2"/>
      <c r="Q219" s="2"/>
      <c r="R219" s="2"/>
      <c r="S219" s="2" t="s">
        <v>1569</v>
      </c>
      <c r="U219" s="2" t="s">
        <v>1423</v>
      </c>
    </row>
    <row r="220" spans="2:21" ht="76.5" x14ac:dyDescent="0.25">
      <c r="B220" s="12"/>
      <c r="C220" s="13" t="str">
        <f t="shared" si="14"/>
        <v>x</v>
      </c>
      <c r="D220" s="14" t="str">
        <f t="shared" si="16"/>
        <v>#Matete Nro 131
Prisionera preparada
8 letras
#Juegodepalabras #adivinanzas #crucigramas</v>
      </c>
      <c r="E220" s="17"/>
      <c r="F220" s="17">
        <f t="shared" si="17"/>
        <v>89</v>
      </c>
      <c r="G220" s="6">
        <v>559558</v>
      </c>
      <c r="H220" s="1">
        <v>131</v>
      </c>
      <c r="I220" s="2" t="s">
        <v>464</v>
      </c>
      <c r="J220" s="2" t="s">
        <v>464</v>
      </c>
      <c r="K220" s="2" t="s">
        <v>465</v>
      </c>
      <c r="L220" s="2">
        <f t="shared" si="18"/>
        <v>8</v>
      </c>
      <c r="M220" s="2" t="s">
        <v>68</v>
      </c>
      <c r="N220" s="2" t="s">
        <v>3</v>
      </c>
      <c r="O220" s="1">
        <v>13</v>
      </c>
      <c r="P220" s="2"/>
      <c r="Q220" s="2"/>
      <c r="R220" s="2"/>
      <c r="S220" s="2" t="s">
        <v>466</v>
      </c>
      <c r="U220" s="2" t="s">
        <v>7</v>
      </c>
    </row>
    <row r="221" spans="2:21" ht="89.25" x14ac:dyDescent="0.25">
      <c r="B221" s="12"/>
      <c r="C221" s="13" t="str">
        <f t="shared" si="14"/>
        <v>x</v>
      </c>
      <c r="D221" s="14" t="str">
        <f t="shared" si="16"/>
        <v>#Matete Nro 182
Cantidad de años de una persona, de corta duración
8 letras
#Juegodepalabras #adivinanzas #crucigramas</v>
      </c>
      <c r="E221" s="17"/>
      <c r="F221" s="17">
        <f t="shared" si="17"/>
        <v>119</v>
      </c>
      <c r="G221" s="6">
        <v>560015</v>
      </c>
      <c r="H221" s="1">
        <v>182</v>
      </c>
      <c r="I221" s="2" t="s">
        <v>627</v>
      </c>
      <c r="J221" s="2" t="s">
        <v>627</v>
      </c>
      <c r="K221" s="2" t="s">
        <v>628</v>
      </c>
      <c r="L221" s="2">
        <f t="shared" si="18"/>
        <v>8</v>
      </c>
      <c r="M221" s="2"/>
      <c r="N221" s="2" t="s">
        <v>76</v>
      </c>
      <c r="O221" s="1">
        <v>16</v>
      </c>
      <c r="P221" s="2"/>
      <c r="Q221" s="2"/>
      <c r="R221" s="2"/>
      <c r="S221" s="2" t="s">
        <v>629</v>
      </c>
      <c r="U221" s="2" t="s">
        <v>7</v>
      </c>
    </row>
    <row r="222" spans="2:21" ht="76.5" x14ac:dyDescent="0.25">
      <c r="B222" s="12"/>
      <c r="C222" s="13" t="str">
        <f t="shared" si="14"/>
        <v>x</v>
      </c>
      <c r="D222" s="14" t="str">
        <f t="shared" si="16"/>
        <v>#Matete Nro 179
Entregué punto de vista
9 letras
#Juegodepalabras #adivinanzas #crucigramas</v>
      </c>
      <c r="E222" s="17"/>
      <c r="F222" s="17">
        <f t="shared" si="17"/>
        <v>92</v>
      </c>
      <c r="G222" s="6">
        <v>560435</v>
      </c>
      <c r="H222" s="1">
        <v>179</v>
      </c>
      <c r="I222" s="2" t="s">
        <v>617</v>
      </c>
      <c r="J222" s="2" t="s">
        <v>620</v>
      </c>
      <c r="K222" s="2" t="s">
        <v>618</v>
      </c>
      <c r="L222" s="2">
        <f t="shared" si="18"/>
        <v>9</v>
      </c>
      <c r="M222" s="2"/>
      <c r="N222" s="2" t="s">
        <v>3</v>
      </c>
      <c r="O222" s="1">
        <v>15</v>
      </c>
      <c r="P222" s="2"/>
      <c r="Q222" s="2"/>
      <c r="R222" s="2"/>
      <c r="S222" s="2" t="s">
        <v>619</v>
      </c>
      <c r="U222" s="2" t="s">
        <v>7</v>
      </c>
    </row>
    <row r="223" spans="2:21" ht="89.25" x14ac:dyDescent="0.25">
      <c r="B223" s="12"/>
      <c r="C223" s="13" t="str">
        <f t="shared" si="14"/>
        <v>x</v>
      </c>
      <c r="D223" s="14" t="str">
        <f t="shared" si="16"/>
        <v>#Matete Nro 267
Masa de harina cocida al horno que se envía por correo
8 letras
#Juegodepalabras #adivinanzas #crucigramas</v>
      </c>
      <c r="E223" s="17"/>
      <c r="F223" s="17">
        <f t="shared" si="17"/>
        <v>123</v>
      </c>
      <c r="G223" s="6">
        <v>565200</v>
      </c>
      <c r="H223" s="1">
        <v>267</v>
      </c>
      <c r="I223" s="2" t="s">
        <v>894</v>
      </c>
      <c r="J223" s="2" t="s">
        <v>894</v>
      </c>
      <c r="K223" s="2" t="s">
        <v>895</v>
      </c>
      <c r="L223" s="2">
        <f t="shared" si="18"/>
        <v>8</v>
      </c>
      <c r="M223" s="2"/>
      <c r="N223" s="2" t="s">
        <v>3</v>
      </c>
      <c r="O223" s="1">
        <v>21</v>
      </c>
      <c r="P223" s="2"/>
      <c r="Q223" s="2"/>
      <c r="R223" s="2"/>
      <c r="S223" s="2" t="s">
        <v>896</v>
      </c>
      <c r="U223" s="2" t="s">
        <v>740</v>
      </c>
    </row>
    <row r="224" spans="2:21" ht="102" x14ac:dyDescent="0.25">
      <c r="B224" s="12"/>
      <c r="C224" s="13" t="str">
        <f t="shared" si="14"/>
        <v>x</v>
      </c>
      <c r="D224" s="14" t="str">
        <f t="shared" si="16"/>
        <v>#Matete Nro 305
Órgano de la vista de la relación entre diámetro y circunferencia
6 letras
#Juegodepalabras #adivinanzas #crucigramas</v>
      </c>
      <c r="E224" s="17"/>
      <c r="F224" s="17">
        <f t="shared" si="17"/>
        <v>134</v>
      </c>
      <c r="G224" s="6">
        <v>566398</v>
      </c>
      <c r="H224" s="1">
        <v>305</v>
      </c>
      <c r="I224" s="2" t="s">
        <v>1011</v>
      </c>
      <c r="J224" s="2" t="s">
        <v>1014</v>
      </c>
      <c r="K224" s="2" t="s">
        <v>1012</v>
      </c>
      <c r="L224" s="2">
        <f t="shared" si="18"/>
        <v>6</v>
      </c>
      <c r="M224" s="2"/>
      <c r="N224" s="2" t="s">
        <v>3</v>
      </c>
      <c r="O224" s="1">
        <v>24</v>
      </c>
      <c r="P224" s="2"/>
      <c r="Q224" s="2"/>
      <c r="R224" s="2"/>
      <c r="S224" s="2" t="s">
        <v>1013</v>
      </c>
      <c r="U224" s="2" t="s">
        <v>740</v>
      </c>
    </row>
    <row r="225" spans="2:21" ht="76.5" x14ac:dyDescent="0.25">
      <c r="B225" s="12"/>
      <c r="C225" s="13" t="str">
        <f t="shared" si="14"/>
        <v>x</v>
      </c>
      <c r="D225" s="14" t="str">
        <f t="shared" si="16"/>
        <v>#Matete Nro 222
A favor de la tubería
8 letras
#Juegodepalabras #adivinanzas #crucigramas</v>
      </c>
      <c r="E225" s="17"/>
      <c r="F225" s="17">
        <f t="shared" si="17"/>
        <v>90</v>
      </c>
      <c r="G225" s="6">
        <v>574853</v>
      </c>
      <c r="H225" s="1">
        <v>222</v>
      </c>
      <c r="I225" s="2" t="s">
        <v>756</v>
      </c>
      <c r="J225" s="2" t="s">
        <v>756</v>
      </c>
      <c r="K225" s="2" t="s">
        <v>757</v>
      </c>
      <c r="L225" s="2">
        <f t="shared" si="18"/>
        <v>8</v>
      </c>
      <c r="M225" s="2" t="s">
        <v>349</v>
      </c>
      <c r="N225" s="2" t="s">
        <v>3</v>
      </c>
      <c r="O225" s="1">
        <v>18</v>
      </c>
      <c r="P225" s="2"/>
      <c r="Q225" s="2"/>
      <c r="R225" s="2"/>
      <c r="S225" s="2" t="s">
        <v>758</v>
      </c>
      <c r="U225" s="2" t="s">
        <v>740</v>
      </c>
    </row>
    <row r="226" spans="2:21" ht="89.25" x14ac:dyDescent="0.25">
      <c r="B226" s="12"/>
      <c r="C226" s="13" t="str">
        <f t="shared" si="14"/>
        <v>x</v>
      </c>
      <c r="D226" s="14" t="str">
        <f t="shared" si="16"/>
        <v>#Matete Nro 227
Dentro de la proposición racional hay dos
10 letras
#Juegodepalabras #adivinanzas #crucigramas</v>
      </c>
      <c r="E226" s="17"/>
      <c r="F226" s="17">
        <f t="shared" si="17"/>
        <v>111</v>
      </c>
      <c r="G226" s="6">
        <v>579509</v>
      </c>
      <c r="H226" s="1">
        <v>227</v>
      </c>
      <c r="I226" s="2" t="s">
        <v>773</v>
      </c>
      <c r="J226" s="2" t="s">
        <v>776</v>
      </c>
      <c r="K226" s="2" t="s">
        <v>774</v>
      </c>
      <c r="L226" s="2">
        <f t="shared" si="18"/>
        <v>10</v>
      </c>
      <c r="M226" s="2" t="s">
        <v>349</v>
      </c>
      <c r="N226" s="2" t="s">
        <v>83</v>
      </c>
      <c r="O226" s="1">
        <v>18</v>
      </c>
      <c r="P226" s="2"/>
      <c r="Q226" s="2"/>
      <c r="R226" s="2"/>
      <c r="S226" s="2" t="s">
        <v>775</v>
      </c>
      <c r="U226" s="2" t="s">
        <v>740</v>
      </c>
    </row>
    <row r="227" spans="2:21" ht="76.5" x14ac:dyDescent="0.25">
      <c r="B227" s="12"/>
      <c r="C227" s="13" t="str">
        <f t="shared" si="14"/>
        <v>x</v>
      </c>
      <c r="D227" s="14" t="str">
        <f t="shared" si="16"/>
        <v>#Matete Nro 75
Dos retirados
7 letras
#Juegodepalabras #adivinanzas #crucigramas</v>
      </c>
      <c r="E227" s="17"/>
      <c r="F227" s="17">
        <f t="shared" si="17"/>
        <v>81</v>
      </c>
      <c r="G227" s="6">
        <v>584803</v>
      </c>
      <c r="H227" s="1">
        <v>75</v>
      </c>
      <c r="I227" s="2" t="s">
        <v>1714</v>
      </c>
      <c r="J227" s="2" t="s">
        <v>267</v>
      </c>
      <c r="K227" s="2" t="s">
        <v>1715</v>
      </c>
      <c r="L227" s="2">
        <f t="shared" si="18"/>
        <v>7</v>
      </c>
      <c r="M227" s="2" t="s">
        <v>2</v>
      </c>
      <c r="N227" s="2" t="s">
        <v>3</v>
      </c>
      <c r="O227" s="1">
        <v>7</v>
      </c>
      <c r="P227" s="2" t="s">
        <v>265</v>
      </c>
      <c r="Q227" s="2"/>
      <c r="R227" s="2"/>
      <c r="S227" s="2" t="s">
        <v>266</v>
      </c>
      <c r="U227" s="2" t="s">
        <v>7</v>
      </c>
    </row>
    <row r="228" spans="2:21" ht="76.5" x14ac:dyDescent="0.25">
      <c r="B228" s="12"/>
      <c r="C228" s="13" t="str">
        <f t="shared" si="14"/>
        <v>x</v>
      </c>
      <c r="D228" s="14" t="str">
        <f t="shared" si="16"/>
        <v>#Matete Nro 83
Degusta el brebaje
10 letras
#Juegodepalabras #adivinanzas #crucigramas</v>
      </c>
      <c r="E228" s="17"/>
      <c r="F228" s="17">
        <f t="shared" si="17"/>
        <v>87</v>
      </c>
      <c r="G228" s="6">
        <v>589291</v>
      </c>
      <c r="H228" s="1">
        <v>83</v>
      </c>
      <c r="I228" s="2" t="s">
        <v>292</v>
      </c>
      <c r="J228" s="2" t="s">
        <v>295</v>
      </c>
      <c r="K228" s="2" t="s">
        <v>293</v>
      </c>
      <c r="L228" s="2">
        <f t="shared" si="18"/>
        <v>10</v>
      </c>
      <c r="M228" s="2" t="s">
        <v>39</v>
      </c>
      <c r="N228" s="2" t="s">
        <v>3</v>
      </c>
      <c r="O228" s="1">
        <v>8</v>
      </c>
      <c r="P228" s="2"/>
      <c r="Q228" s="2"/>
      <c r="R228" s="2"/>
      <c r="S228" s="2" t="s">
        <v>294</v>
      </c>
      <c r="U228" s="2" t="s">
        <v>7</v>
      </c>
    </row>
    <row r="229" spans="2:21" ht="76.5" x14ac:dyDescent="0.25">
      <c r="B229" s="12"/>
      <c r="C229" s="13" t="str">
        <f t="shared" si="14"/>
        <v>x</v>
      </c>
      <c r="D229" s="14" t="str">
        <f t="shared" si="16"/>
        <v>#Matete Nro 33
El último pan del abecedario
7 letras
#Juegodepalabras #adivinanzas #crucigramas</v>
      </c>
      <c r="E229" s="17"/>
      <c r="F229" s="17">
        <f t="shared" si="17"/>
        <v>96</v>
      </c>
      <c r="G229" s="6">
        <v>592196</v>
      </c>
      <c r="H229" s="1">
        <v>33</v>
      </c>
      <c r="I229" s="2" t="s">
        <v>121</v>
      </c>
      <c r="J229" s="2" t="s">
        <v>121</v>
      </c>
      <c r="K229" s="2" t="s">
        <v>122</v>
      </c>
      <c r="L229" s="2">
        <f t="shared" si="18"/>
        <v>7</v>
      </c>
      <c r="M229" s="2" t="s">
        <v>2</v>
      </c>
      <c r="N229" s="2" t="s">
        <v>3</v>
      </c>
      <c r="O229" s="1">
        <v>3</v>
      </c>
      <c r="P229" s="2" t="s">
        <v>123</v>
      </c>
      <c r="Q229" s="2" t="s">
        <v>124</v>
      </c>
      <c r="R229" s="2"/>
      <c r="S229" s="2" t="s">
        <v>125</v>
      </c>
      <c r="U229" s="2" t="s">
        <v>7</v>
      </c>
    </row>
    <row r="230" spans="2:21" ht="102" x14ac:dyDescent="0.25">
      <c r="B230" s="12"/>
      <c r="C230" s="13" t="str">
        <f t="shared" si="14"/>
        <v>x</v>
      </c>
      <c r="D230" s="14" t="str">
        <f t="shared" si="16"/>
        <v>#Matete Nro 407
Animal que hace cuevas debajo de la tierra y utiliza silogismos
10 letras
#Juegodepalabras #adivinanzas #crucigramas</v>
      </c>
      <c r="E230" s="17"/>
      <c r="F230" s="17">
        <f t="shared" si="17"/>
        <v>133</v>
      </c>
      <c r="G230" s="6">
        <v>592287</v>
      </c>
      <c r="H230" s="1">
        <v>407</v>
      </c>
      <c r="I230" s="2" t="s">
        <v>1232</v>
      </c>
      <c r="J230" s="2" t="s">
        <v>1235</v>
      </c>
      <c r="K230" s="2" t="s">
        <v>1233</v>
      </c>
      <c r="L230" s="2">
        <f t="shared" si="18"/>
        <v>10</v>
      </c>
      <c r="M230" s="2" t="s">
        <v>68</v>
      </c>
      <c r="N230" s="2" t="s">
        <v>3</v>
      </c>
      <c r="O230" s="1">
        <v>29</v>
      </c>
      <c r="P230" s="2"/>
      <c r="Q230" s="2"/>
      <c r="R230" s="2"/>
      <c r="S230" s="2" t="s">
        <v>1234</v>
      </c>
      <c r="U230" s="2" t="s">
        <v>740</v>
      </c>
    </row>
    <row r="231" spans="2:21" ht="89.25" x14ac:dyDescent="0.25">
      <c r="B231" s="12"/>
      <c r="C231" s="13" t="str">
        <f t="shared" si="14"/>
        <v>x</v>
      </c>
      <c r="D231" s="14" t="str">
        <f t="shared" si="16"/>
        <v>#Matete Nro 494
Hueso que se usa para jugar en la cantera
10 letras
#Juegodepalabras #adivinanzas #crucigramas</v>
      </c>
      <c r="E231" s="17"/>
      <c r="F231" s="17">
        <f t="shared" si="17"/>
        <v>111</v>
      </c>
      <c r="G231" s="6">
        <v>592551</v>
      </c>
      <c r="H231" s="1">
        <v>494</v>
      </c>
      <c r="I231" s="2" t="s">
        <v>1374</v>
      </c>
      <c r="J231" s="2" t="s">
        <v>1374</v>
      </c>
      <c r="K231" s="2" t="s">
        <v>1375</v>
      </c>
      <c r="L231" s="2">
        <f t="shared" si="18"/>
        <v>10</v>
      </c>
      <c r="M231" s="2"/>
      <c r="N231" s="2" t="s">
        <v>3</v>
      </c>
      <c r="O231" s="1">
        <v>32</v>
      </c>
      <c r="P231" s="2"/>
      <c r="Q231" s="2"/>
      <c r="R231" s="2"/>
      <c r="S231" s="2" t="s">
        <v>1376</v>
      </c>
      <c r="U231" s="2" t="s">
        <v>740</v>
      </c>
    </row>
    <row r="232" spans="2:21" ht="114.75" x14ac:dyDescent="0.25">
      <c r="B232" s="12"/>
      <c r="C232" s="13" t="str">
        <f t="shared" si="14"/>
        <v>x</v>
      </c>
      <c r="D232" s="14" t="str">
        <f t="shared" si="16"/>
        <v>#Matete Nro 560
Vende la sensación que le produce el olor de algo muy feo y permite que le paguen más adelante.
6 letras
#Juegodepalabras #adivinanzas #crucigramas</v>
      </c>
      <c r="E232" s="17"/>
      <c r="F232" s="17">
        <f t="shared" si="17"/>
        <v>164</v>
      </c>
      <c r="G232" s="6">
        <v>593277</v>
      </c>
      <c r="H232" s="1">
        <v>560</v>
      </c>
      <c r="I232" s="2" t="s">
        <v>1470</v>
      </c>
      <c r="J232" s="2" t="s">
        <v>1470</v>
      </c>
      <c r="K232" s="2" t="s">
        <v>1471</v>
      </c>
      <c r="L232" s="2">
        <f t="shared" si="18"/>
        <v>6</v>
      </c>
      <c r="M232" s="2" t="s">
        <v>68</v>
      </c>
      <c r="N232" s="2" t="s">
        <v>1448</v>
      </c>
      <c r="O232" s="1">
        <v>34</v>
      </c>
      <c r="P232" s="2"/>
      <c r="Q232" s="2"/>
      <c r="R232" s="2"/>
      <c r="S232" s="2" t="s">
        <v>1472</v>
      </c>
      <c r="U232" s="2" t="s">
        <v>1423</v>
      </c>
    </row>
    <row r="233" spans="2:21" ht="89.25" x14ac:dyDescent="0.25">
      <c r="B233" s="12"/>
      <c r="C233" s="13" t="str">
        <f t="shared" si="14"/>
        <v>x</v>
      </c>
      <c r="D233" s="14" t="str">
        <f t="shared" si="16"/>
        <v>#Matete Nro 207
Ya no es una fuerza que empuja
9 letras
#Juegodepalabras #adivinanzas #crucigramas</v>
      </c>
      <c r="E233" s="17"/>
      <c r="F233" s="17">
        <f t="shared" si="17"/>
        <v>99</v>
      </c>
      <c r="G233" s="6">
        <v>593530</v>
      </c>
      <c r="H233" s="1">
        <v>207</v>
      </c>
      <c r="I233" s="2" t="s">
        <v>708</v>
      </c>
      <c r="J233" s="2" t="s">
        <v>712</v>
      </c>
      <c r="K233" s="2" t="s">
        <v>709</v>
      </c>
      <c r="L233" s="2">
        <f t="shared" si="18"/>
        <v>9</v>
      </c>
      <c r="M233" s="2"/>
      <c r="N233" s="2" t="s">
        <v>3</v>
      </c>
      <c r="O233" s="1">
        <v>17</v>
      </c>
      <c r="P233" s="2" t="s">
        <v>710</v>
      </c>
      <c r="Q233" s="2"/>
      <c r="R233" s="2"/>
      <c r="S233" s="2" t="s">
        <v>711</v>
      </c>
      <c r="U233" s="2" t="s">
        <v>7</v>
      </c>
    </row>
    <row r="234" spans="2:21" ht="76.5" x14ac:dyDescent="0.25">
      <c r="B234" s="12"/>
      <c r="C234" s="13" t="str">
        <f t="shared" si="14"/>
        <v>x</v>
      </c>
      <c r="D234" s="14" t="str">
        <f t="shared" si="16"/>
        <v>#Matete Nro 199
Me fui, sí, padre
9 letras
#Juegodepalabras #adivinanzas #crucigramas</v>
      </c>
      <c r="E234" s="17"/>
      <c r="F234" s="17">
        <f t="shared" si="17"/>
        <v>86</v>
      </c>
      <c r="G234" s="6">
        <v>594140</v>
      </c>
      <c r="H234" s="1">
        <v>199</v>
      </c>
      <c r="I234" s="2" t="s">
        <v>688</v>
      </c>
      <c r="J234" s="2" t="s">
        <v>688</v>
      </c>
      <c r="K234" s="2" t="s">
        <v>689</v>
      </c>
      <c r="L234" s="2">
        <f t="shared" si="18"/>
        <v>9</v>
      </c>
      <c r="M234" s="2"/>
      <c r="N234" s="2" t="s">
        <v>83</v>
      </c>
      <c r="O234" s="1">
        <v>16</v>
      </c>
      <c r="P234" s="2"/>
      <c r="Q234" s="2"/>
      <c r="R234" s="2"/>
      <c r="S234" s="2" t="s">
        <v>690</v>
      </c>
      <c r="U234" s="2" t="s">
        <v>7</v>
      </c>
    </row>
    <row r="235" spans="2:21" ht="89.25" x14ac:dyDescent="0.25">
      <c r="B235" s="12"/>
      <c r="C235" s="13" t="str">
        <f t="shared" si="14"/>
        <v>x</v>
      </c>
      <c r="D235" s="14" t="str">
        <f t="shared" si="16"/>
        <v>#Matete Nro 288
Fruta que niega las que no son blandas
7 letras
#Juegodepalabras #adivinanzas #crucigramas</v>
      </c>
      <c r="E235" s="17"/>
      <c r="F235" s="17">
        <f t="shared" si="17"/>
        <v>107</v>
      </c>
      <c r="G235" s="6">
        <v>595731</v>
      </c>
      <c r="H235" s="1">
        <v>288</v>
      </c>
      <c r="I235" s="2" t="s">
        <v>960</v>
      </c>
      <c r="J235" s="2" t="s">
        <v>960</v>
      </c>
      <c r="K235" s="2" t="s">
        <v>961</v>
      </c>
      <c r="L235" s="2">
        <f t="shared" si="18"/>
        <v>7</v>
      </c>
      <c r="M235" s="2"/>
      <c r="N235" s="2" t="s">
        <v>513</v>
      </c>
      <c r="O235" s="1">
        <v>22</v>
      </c>
      <c r="P235" s="2"/>
      <c r="Q235" s="2"/>
      <c r="R235" s="2"/>
      <c r="S235" s="2" t="s">
        <v>962</v>
      </c>
      <c r="U235" s="2" t="s">
        <v>740</v>
      </c>
    </row>
    <row r="236" spans="2:21" ht="89.25" x14ac:dyDescent="0.25">
      <c r="B236" s="12"/>
      <c r="C236" s="13" t="str">
        <f t="shared" si="14"/>
        <v>x</v>
      </c>
      <c r="D236" s="14" t="str">
        <f t="shared" si="16"/>
        <v>#Matete Nro 732
Me encuentro en estado de movimiento telúrico
10 letras
#Juegodepalabras #adivinanzas #crucigramas</v>
      </c>
      <c r="E236" s="17"/>
      <c r="F236" s="17">
        <f t="shared" si="17"/>
        <v>115</v>
      </c>
      <c r="G236" s="6">
        <v>597965</v>
      </c>
      <c r="H236" s="1">
        <v>732</v>
      </c>
      <c r="I236" s="2" t="s">
        <v>1707</v>
      </c>
      <c r="J236" s="2" t="s">
        <v>1707</v>
      </c>
      <c r="K236" s="2" t="s">
        <v>1708</v>
      </c>
      <c r="L236" s="2">
        <f t="shared" si="18"/>
        <v>10</v>
      </c>
      <c r="M236" s="2" t="s">
        <v>1709</v>
      </c>
      <c r="N236" s="2" t="s">
        <v>3</v>
      </c>
      <c r="O236" s="1">
        <v>37</v>
      </c>
      <c r="P236" s="2"/>
      <c r="Q236" s="2"/>
      <c r="R236" s="2"/>
      <c r="S236" s="2" t="s">
        <v>1710</v>
      </c>
      <c r="U236" s="2" t="s">
        <v>1423</v>
      </c>
    </row>
    <row r="237" spans="2:21" ht="89.25" x14ac:dyDescent="0.25">
      <c r="B237" s="12"/>
      <c r="C237" s="13" t="str">
        <f t="shared" si="14"/>
        <v>x</v>
      </c>
      <c r="D237" s="14" t="str">
        <f t="shared" si="16"/>
        <v>#Matete Nro 332
Realizo una medición con el apócope de Susana
9 letras
#Juegodepalabras #adivinanzas #crucigramas</v>
      </c>
      <c r="E237" s="17"/>
      <c r="F237" s="17">
        <f t="shared" si="17"/>
        <v>114</v>
      </c>
      <c r="G237" s="6">
        <v>598005</v>
      </c>
      <c r="H237" s="1">
        <v>332</v>
      </c>
      <c r="I237" s="2" t="s">
        <v>1096</v>
      </c>
      <c r="J237" s="2" t="s">
        <v>1096</v>
      </c>
      <c r="K237" s="2" t="s">
        <v>1097</v>
      </c>
      <c r="L237" s="2">
        <f t="shared" si="18"/>
        <v>9</v>
      </c>
      <c r="M237" s="2"/>
      <c r="N237" s="2"/>
      <c r="O237" s="1">
        <v>27</v>
      </c>
      <c r="P237" s="2"/>
      <c r="Q237" s="2"/>
      <c r="R237" s="2"/>
      <c r="S237" s="2" t="s">
        <v>1098</v>
      </c>
      <c r="U237" s="2" t="s">
        <v>740</v>
      </c>
    </row>
    <row r="238" spans="2:21" ht="89.25" x14ac:dyDescent="0.25">
      <c r="B238" s="12"/>
      <c r="C238" s="13" t="str">
        <f t="shared" si="14"/>
        <v>x</v>
      </c>
      <c r="D238" s="14" t="str">
        <f t="shared" si="16"/>
        <v>#Matete Nro 164
Ingirió cacahuate para definir el lugar de los locos
9 letras
#Juegodepalabras #adivinanzas #crucigramas</v>
      </c>
      <c r="E238" s="17"/>
      <c r="F238" s="17">
        <f t="shared" si="17"/>
        <v>121</v>
      </c>
      <c r="G238" s="6">
        <v>598370</v>
      </c>
      <c r="H238" s="1">
        <v>164</v>
      </c>
      <c r="I238" s="2" t="s">
        <v>574</v>
      </c>
      <c r="J238" s="2" t="s">
        <v>574</v>
      </c>
      <c r="K238" s="2" t="s">
        <v>575</v>
      </c>
      <c r="L238" s="2">
        <f t="shared" si="18"/>
        <v>9</v>
      </c>
      <c r="M238" s="2"/>
      <c r="N238" s="2" t="s">
        <v>3</v>
      </c>
      <c r="O238" s="1">
        <v>15</v>
      </c>
      <c r="P238" s="2"/>
      <c r="Q238" s="2"/>
      <c r="R238" s="2"/>
      <c r="S238" s="2" t="s">
        <v>576</v>
      </c>
      <c r="U238" s="2" t="s">
        <v>7</v>
      </c>
    </row>
    <row r="239" spans="2:21" ht="89.25" x14ac:dyDescent="0.25">
      <c r="B239" s="12"/>
      <c r="C239" s="13" t="str">
        <f t="shared" si="14"/>
        <v>x</v>
      </c>
      <c r="D239" s="14" t="str">
        <f t="shared" si="16"/>
        <v>#Matete Nro 552
4046 metros cuadrados de mal olor
8 letras
#Juegodepalabras #adivinanzas #crucigramas</v>
      </c>
      <c r="E239" s="17"/>
      <c r="F239" s="17">
        <f t="shared" si="17"/>
        <v>102</v>
      </c>
      <c r="G239" s="6">
        <v>601024</v>
      </c>
      <c r="H239" s="1">
        <v>552</v>
      </c>
      <c r="I239" s="2" t="s">
        <v>1458</v>
      </c>
      <c r="J239" s="2" t="s">
        <v>1458</v>
      </c>
      <c r="K239" s="2" t="s">
        <v>1459</v>
      </c>
      <c r="L239" s="2">
        <f t="shared" si="18"/>
        <v>8</v>
      </c>
      <c r="M239" s="2" t="s">
        <v>68</v>
      </c>
      <c r="N239" s="2" t="s">
        <v>513</v>
      </c>
      <c r="O239" s="1">
        <v>34</v>
      </c>
      <c r="P239" s="2"/>
      <c r="Q239" s="2"/>
      <c r="R239" s="2"/>
      <c r="S239" s="2" t="s">
        <v>1460</v>
      </c>
      <c r="U239" s="2" t="s">
        <v>1423</v>
      </c>
    </row>
    <row r="240" spans="2:21" ht="76.5" x14ac:dyDescent="0.25">
      <c r="B240" s="12"/>
      <c r="C240" s="13" t="str">
        <f t="shared" si="14"/>
        <v>x</v>
      </c>
      <c r="D240" s="14" t="str">
        <f t="shared" si="16"/>
        <v>#Matete Nro 187
Dividir a un dúo en parcelas
9 letras
#Juegodepalabras #adivinanzas #crucigramas</v>
      </c>
      <c r="E240" s="17"/>
      <c r="F240" s="17">
        <f t="shared" si="17"/>
        <v>97</v>
      </c>
      <c r="G240" s="6">
        <v>602549</v>
      </c>
      <c r="H240" s="1">
        <v>187</v>
      </c>
      <c r="I240" s="2" t="s">
        <v>645</v>
      </c>
      <c r="J240" s="2" t="s">
        <v>645</v>
      </c>
      <c r="K240" s="2" t="s">
        <v>646</v>
      </c>
      <c r="L240" s="2">
        <f t="shared" si="18"/>
        <v>9</v>
      </c>
      <c r="M240" s="2"/>
      <c r="N240" s="2" t="s">
        <v>3</v>
      </c>
      <c r="O240" s="1">
        <v>16</v>
      </c>
      <c r="P240" s="2"/>
      <c r="Q240" s="2"/>
      <c r="R240" s="2"/>
      <c r="S240" s="2" t="s">
        <v>647</v>
      </c>
      <c r="U240" s="2" t="s">
        <v>7</v>
      </c>
    </row>
    <row r="241" spans="2:21" ht="76.5" x14ac:dyDescent="0.25">
      <c r="B241" s="12"/>
      <c r="C241" s="13" t="str">
        <f t="shared" si="14"/>
        <v>x</v>
      </c>
      <c r="D241" s="14" t="str">
        <f t="shared" si="16"/>
        <v>#Matete Nro 142
Siquiera la mujer de Adán
5 letras
#Juegodepalabras #adivinanzas #crucigramas</v>
      </c>
      <c r="E241" s="17"/>
      <c r="F241" s="17">
        <f t="shared" si="17"/>
        <v>94</v>
      </c>
      <c r="G241" s="6">
        <v>603136</v>
      </c>
      <c r="H241" s="1">
        <v>142</v>
      </c>
      <c r="I241" s="2" t="s">
        <v>501</v>
      </c>
      <c r="J241" s="2" t="s">
        <v>504</v>
      </c>
      <c r="K241" s="2" t="s">
        <v>502</v>
      </c>
      <c r="L241" s="2">
        <f t="shared" si="18"/>
        <v>5</v>
      </c>
      <c r="M241" s="2"/>
      <c r="N241" s="2" t="s">
        <v>3</v>
      </c>
      <c r="O241" s="1">
        <v>14</v>
      </c>
      <c r="P241" s="2"/>
      <c r="Q241" s="2"/>
      <c r="R241" s="2"/>
      <c r="S241" s="2" t="s">
        <v>503</v>
      </c>
      <c r="U241" s="2" t="s">
        <v>7</v>
      </c>
    </row>
    <row r="242" spans="2:21" ht="76.5" x14ac:dyDescent="0.25">
      <c r="B242" s="12"/>
      <c r="C242" s="13" t="str">
        <f t="shared" si="14"/>
        <v>x</v>
      </c>
      <c r="D242" s="14" t="str">
        <f t="shared" si="16"/>
        <v>#Matete Nro 194
Antes de detener
8 letras
#Juegodepalabras #adivinanzas #crucigramas</v>
      </c>
      <c r="E242" s="17"/>
      <c r="F242" s="17">
        <f t="shared" si="17"/>
        <v>85</v>
      </c>
      <c r="G242" s="6">
        <v>614840</v>
      </c>
      <c r="H242" s="1">
        <v>194</v>
      </c>
      <c r="I242" s="2" t="s">
        <v>669</v>
      </c>
      <c r="J242" s="2" t="s">
        <v>669</v>
      </c>
      <c r="K242" s="2" t="s">
        <v>670</v>
      </c>
      <c r="L242" s="2">
        <f t="shared" si="18"/>
        <v>8</v>
      </c>
      <c r="M242" s="2"/>
      <c r="N242" s="2" t="s">
        <v>3</v>
      </c>
      <c r="O242" s="1">
        <v>16</v>
      </c>
      <c r="P242" s="2"/>
      <c r="Q242" s="2"/>
      <c r="R242" s="2"/>
      <c r="S242" s="2" t="s">
        <v>671</v>
      </c>
      <c r="U242" s="2" t="s">
        <v>7</v>
      </c>
    </row>
    <row r="243" spans="2:21" ht="76.5" x14ac:dyDescent="0.25">
      <c r="B243" s="12"/>
      <c r="C243" s="13" t="str">
        <f t="shared" si="14"/>
        <v>x</v>
      </c>
      <c r="D243" s="14" t="str">
        <f t="shared" si="16"/>
        <v>#Matete Nro 269
Pongo el oso en la pira
7 letras
#Juegodepalabras #adivinanzas #crucigramas</v>
      </c>
      <c r="E243" s="17"/>
      <c r="F243" s="17">
        <f t="shared" si="17"/>
        <v>92</v>
      </c>
      <c r="G243" s="6">
        <v>616486</v>
      </c>
      <c r="H243" s="1">
        <v>269</v>
      </c>
      <c r="I243" s="2" t="s">
        <v>900</v>
      </c>
      <c r="J243" s="2" t="s">
        <v>900</v>
      </c>
      <c r="K243" s="2" t="s">
        <v>901</v>
      </c>
      <c r="L243" s="2">
        <f t="shared" si="18"/>
        <v>7</v>
      </c>
      <c r="M243" s="2"/>
      <c r="N243" s="2" t="s">
        <v>76</v>
      </c>
      <c r="O243" s="1">
        <v>21</v>
      </c>
      <c r="P243" s="2"/>
      <c r="Q243" s="2"/>
      <c r="R243" s="2"/>
      <c r="S243" s="2" t="s">
        <v>902</v>
      </c>
      <c r="U243" s="2" t="s">
        <v>740</v>
      </c>
    </row>
    <row r="244" spans="2:21" ht="102" x14ac:dyDescent="0.25">
      <c r="B244" s="12"/>
      <c r="C244" s="13" t="str">
        <f t="shared" si="14"/>
        <v>x</v>
      </c>
      <c r="D244" s="14" t="str">
        <f t="shared" si="16"/>
        <v>#Matete Nro 190
Esta letra posterior a la c se viste elegante pero no con corbata
7 letras
#Juegodepalabras #adivinanzas #crucigramas</v>
      </c>
      <c r="E244" s="17"/>
      <c r="F244" s="17">
        <f t="shared" si="17"/>
        <v>134</v>
      </c>
      <c r="G244" s="6">
        <v>616968</v>
      </c>
      <c r="H244" s="1">
        <v>190</v>
      </c>
      <c r="I244" s="2" t="s">
        <v>657</v>
      </c>
      <c r="J244" s="2" t="s">
        <v>657</v>
      </c>
      <c r="K244" s="2" t="s">
        <v>658</v>
      </c>
      <c r="L244" s="2">
        <f t="shared" si="18"/>
        <v>7</v>
      </c>
      <c r="M244" s="2"/>
      <c r="N244" s="2" t="s">
        <v>3</v>
      </c>
      <c r="O244" s="1">
        <v>16</v>
      </c>
      <c r="P244" s="2"/>
      <c r="Q244" s="2"/>
      <c r="R244" s="2"/>
      <c r="S244" s="2" t="s">
        <v>659</v>
      </c>
      <c r="U244" s="2" t="s">
        <v>7</v>
      </c>
    </row>
    <row r="245" spans="2:21" ht="89.25" x14ac:dyDescent="0.25">
      <c r="B245" s="12"/>
      <c r="C245" s="13" t="str">
        <f t="shared" si="14"/>
        <v>x</v>
      </c>
      <c r="D245" s="14" t="str">
        <f t="shared" si="16"/>
        <v>#Matete Nro 598
Ingresa agua salada que rodea los continentes
8 letras
#Juegodepalabras #adivinanzas #crucigramas</v>
      </c>
      <c r="E245" s="17"/>
      <c r="F245" s="17">
        <f t="shared" si="17"/>
        <v>114</v>
      </c>
      <c r="G245" s="6">
        <v>617176</v>
      </c>
      <c r="H245" s="1">
        <v>598</v>
      </c>
      <c r="I245" s="2" t="s">
        <v>1525</v>
      </c>
      <c r="J245" s="2" t="s">
        <v>1528</v>
      </c>
      <c r="K245" s="2" t="s">
        <v>1526</v>
      </c>
      <c r="L245" s="2">
        <f t="shared" si="18"/>
        <v>8</v>
      </c>
      <c r="M245" s="2"/>
      <c r="N245" s="2" t="s">
        <v>3</v>
      </c>
      <c r="O245" s="1">
        <v>35</v>
      </c>
      <c r="P245" s="2"/>
      <c r="Q245" s="2"/>
      <c r="R245" s="2"/>
      <c r="S245" s="2" t="s">
        <v>1527</v>
      </c>
      <c r="U245" s="2" t="s">
        <v>1423</v>
      </c>
    </row>
    <row r="246" spans="2:21" ht="89.25" x14ac:dyDescent="0.25">
      <c r="B246" s="12"/>
      <c r="C246" s="13" t="str">
        <f t="shared" si="14"/>
        <v>x</v>
      </c>
      <c r="D246" s="14" t="str">
        <f t="shared" si="16"/>
        <v>#Matete Nro 71
No contiene el número que no contiene nada
7 letras
#Juegodepalabras #adivinanzas #crucigramas</v>
      </c>
      <c r="E246" s="17"/>
      <c r="F246" s="17">
        <f t="shared" si="17"/>
        <v>110</v>
      </c>
      <c r="G246" s="6">
        <v>619056</v>
      </c>
      <c r="H246" s="1">
        <v>71</v>
      </c>
      <c r="I246" s="2" t="s">
        <v>250</v>
      </c>
      <c r="J246" s="2" t="s">
        <v>250</v>
      </c>
      <c r="K246" s="2" t="s">
        <v>251</v>
      </c>
      <c r="L246" s="2">
        <f t="shared" si="18"/>
        <v>7</v>
      </c>
      <c r="M246" s="2" t="s">
        <v>2</v>
      </c>
      <c r="N246" s="2" t="s">
        <v>3</v>
      </c>
      <c r="O246" s="1">
        <v>7</v>
      </c>
      <c r="P246" s="2" t="s">
        <v>252</v>
      </c>
      <c r="Q246" s="2"/>
      <c r="R246" s="2"/>
      <c r="S246" s="2" t="s">
        <v>253</v>
      </c>
      <c r="U246" s="2" t="s">
        <v>7</v>
      </c>
    </row>
    <row r="247" spans="2:21" ht="89.25" x14ac:dyDescent="0.25">
      <c r="B247" s="12"/>
      <c r="C247" s="13" t="str">
        <f t="shared" ref="C247:C310" si="19">IF(B247&lt;&gt;"",WEEKDAY(B247),"x")</f>
        <v>x</v>
      </c>
      <c r="D247" s="14" t="str">
        <f t="shared" si="16"/>
        <v>#Matete Nro 430
Une la bañadera con pegamento
8 letras
#Juegodepalabras #adivinanzas #crucigramas</v>
      </c>
      <c r="E247" s="17"/>
      <c r="F247" s="17">
        <f t="shared" si="17"/>
        <v>98</v>
      </c>
      <c r="G247" s="6">
        <v>638400</v>
      </c>
      <c r="H247" s="1">
        <v>430</v>
      </c>
      <c r="I247" s="2" t="s">
        <v>1270</v>
      </c>
      <c r="J247" s="2" t="s">
        <v>1270</v>
      </c>
      <c r="K247" s="2" t="s">
        <v>1271</v>
      </c>
      <c r="L247" s="2">
        <f t="shared" si="18"/>
        <v>8</v>
      </c>
      <c r="M247" s="2"/>
      <c r="N247" s="2" t="s">
        <v>3</v>
      </c>
      <c r="O247" s="1">
        <v>30</v>
      </c>
      <c r="P247" s="2"/>
      <c r="Q247" s="2"/>
      <c r="R247" s="2"/>
      <c r="S247" s="2" t="s">
        <v>1272</v>
      </c>
      <c r="U247" s="2" t="s">
        <v>740</v>
      </c>
    </row>
    <row r="248" spans="2:21" ht="76.5" x14ac:dyDescent="0.25">
      <c r="B248" s="12"/>
      <c r="C248" s="13" t="str">
        <f t="shared" si="19"/>
        <v>x</v>
      </c>
      <c r="D248" s="14" t="str">
        <f t="shared" si="16"/>
        <v>#Matete Nro 518
Creencia en ebullición
6 letras
#Juegodepalabras #adivinanzas #crucigramas</v>
      </c>
      <c r="E248" s="17"/>
      <c r="F248" s="17">
        <f t="shared" si="17"/>
        <v>91</v>
      </c>
      <c r="G248" s="6">
        <v>641745</v>
      </c>
      <c r="H248" s="1">
        <v>518</v>
      </c>
      <c r="I248" s="2" t="s">
        <v>1403</v>
      </c>
      <c r="J248" s="2" t="s">
        <v>1403</v>
      </c>
      <c r="K248" s="2" t="s">
        <v>1404</v>
      </c>
      <c r="L248" s="2">
        <f t="shared" si="18"/>
        <v>6</v>
      </c>
      <c r="M248" s="2"/>
      <c r="N248" s="2" t="s">
        <v>76</v>
      </c>
      <c r="O248" s="1">
        <v>33</v>
      </c>
      <c r="P248" s="2"/>
      <c r="Q248" s="2"/>
      <c r="R248" s="2"/>
      <c r="S248" s="2" t="s">
        <v>1405</v>
      </c>
      <c r="U248" s="2" t="s">
        <v>740</v>
      </c>
    </row>
    <row r="249" spans="2:21" ht="76.5" x14ac:dyDescent="0.25">
      <c r="B249" s="12"/>
      <c r="C249" s="13" t="str">
        <f t="shared" si="19"/>
        <v>x</v>
      </c>
      <c r="D249" s="14" t="str">
        <f t="shared" si="16"/>
        <v>#Matete Nro 722
Pulo ninguna cosa
8 letras
#Juegodepalabras #adivinanzas #crucigramas</v>
      </c>
      <c r="E249" s="17"/>
      <c r="F249" s="17">
        <f t="shared" si="17"/>
        <v>86</v>
      </c>
      <c r="G249" s="6">
        <v>643328</v>
      </c>
      <c r="H249" s="1">
        <v>722</v>
      </c>
      <c r="I249" s="2" t="s">
        <v>1690</v>
      </c>
      <c r="J249" s="2" t="s">
        <v>1690</v>
      </c>
      <c r="K249" s="2" t="s">
        <v>1691</v>
      </c>
      <c r="L249" s="2">
        <f t="shared" si="18"/>
        <v>8</v>
      </c>
      <c r="M249" s="2" t="s">
        <v>68</v>
      </c>
      <c r="N249" s="2" t="s">
        <v>3</v>
      </c>
      <c r="O249" s="1">
        <v>37</v>
      </c>
      <c r="P249" s="2"/>
      <c r="Q249" s="2"/>
      <c r="R249" s="2"/>
      <c r="S249" s="2" t="s">
        <v>1692</v>
      </c>
      <c r="U249" s="2" t="s">
        <v>1423</v>
      </c>
    </row>
    <row r="250" spans="2:21" ht="89.25" x14ac:dyDescent="0.25">
      <c r="B250" s="12"/>
      <c r="C250" s="13" t="str">
        <f t="shared" si="19"/>
        <v>x</v>
      </c>
      <c r="D250" s="14" t="str">
        <f t="shared" si="16"/>
        <v>#Matete Nro 390
Anterior a una ceremonia de la Iglesia Católica
7 letras
#Juegodepalabras #adivinanzas #crucigramas</v>
      </c>
      <c r="E250" s="17"/>
      <c r="F250" s="17">
        <f t="shared" si="17"/>
        <v>116</v>
      </c>
      <c r="G250" s="6">
        <v>643683</v>
      </c>
      <c r="H250" s="1">
        <v>390</v>
      </c>
      <c r="I250" s="2" t="s">
        <v>1203</v>
      </c>
      <c r="J250" s="2" t="s">
        <v>1203</v>
      </c>
      <c r="K250" s="2" t="s">
        <v>1204</v>
      </c>
      <c r="L250" s="2">
        <f t="shared" si="18"/>
        <v>7</v>
      </c>
      <c r="M250" s="2"/>
      <c r="N250" s="2" t="s">
        <v>3</v>
      </c>
      <c r="O250" s="1">
        <v>29</v>
      </c>
      <c r="P250" s="2"/>
      <c r="Q250" s="2"/>
      <c r="R250" s="2"/>
      <c r="S250" s="2" t="s">
        <v>1205</v>
      </c>
      <c r="U250" s="2" t="s">
        <v>740</v>
      </c>
    </row>
    <row r="251" spans="2:21" ht="76.5" x14ac:dyDescent="0.25">
      <c r="B251" s="12"/>
      <c r="C251" s="13" t="str">
        <f t="shared" si="19"/>
        <v>x</v>
      </c>
      <c r="D251" s="14" t="str">
        <f t="shared" si="16"/>
        <v>#Matete Nro 470
Detenga afirmación
7 letras
#Juegodepalabras #adivinanzas #crucigramas</v>
      </c>
      <c r="E251" s="17"/>
      <c r="F251" s="17">
        <f t="shared" si="17"/>
        <v>87</v>
      </c>
      <c r="G251" s="6">
        <v>651575</v>
      </c>
      <c r="H251" s="1">
        <v>470</v>
      </c>
      <c r="I251" s="2" t="s">
        <v>1336</v>
      </c>
      <c r="J251" s="2" t="s">
        <v>1339</v>
      </c>
      <c r="K251" s="2" t="s">
        <v>1337</v>
      </c>
      <c r="L251" s="2">
        <f t="shared" si="18"/>
        <v>7</v>
      </c>
      <c r="M251" s="2"/>
      <c r="N251" s="2" t="s">
        <v>3</v>
      </c>
      <c r="O251" s="1">
        <v>32</v>
      </c>
      <c r="P251" s="2"/>
      <c r="Q251" s="2"/>
      <c r="R251" s="2"/>
      <c r="S251" s="2" t="s">
        <v>1338</v>
      </c>
      <c r="U251" s="2" t="s">
        <v>740</v>
      </c>
    </row>
    <row r="252" spans="2:21" ht="102" x14ac:dyDescent="0.25">
      <c r="B252" s="12"/>
      <c r="C252" s="13" t="str">
        <f t="shared" si="19"/>
        <v>x</v>
      </c>
      <c r="D252" s="14" t="str">
        <f t="shared" si="16"/>
        <v>#Matete Nro 149
Adición del descendiente directo más próximo y la primera letra
7 letras
#Juegodepalabras #adivinanzas #crucigramas</v>
      </c>
      <c r="E252" s="17"/>
      <c r="F252" s="17">
        <f t="shared" si="17"/>
        <v>132</v>
      </c>
      <c r="G252" s="6">
        <v>655514</v>
      </c>
      <c r="H252" s="1">
        <v>149</v>
      </c>
      <c r="I252" s="2" t="s">
        <v>526</v>
      </c>
      <c r="J252" s="2" t="s">
        <v>526</v>
      </c>
      <c r="K252" s="2" t="s">
        <v>527</v>
      </c>
      <c r="L252" s="2">
        <f t="shared" si="18"/>
        <v>7</v>
      </c>
      <c r="M252" s="2" t="s">
        <v>349</v>
      </c>
      <c r="N252" s="2" t="s">
        <v>3</v>
      </c>
      <c r="O252" s="1">
        <v>14</v>
      </c>
      <c r="P252" s="2"/>
      <c r="Q252" s="2"/>
      <c r="R252" s="2"/>
      <c r="S252" s="2" t="s">
        <v>528</v>
      </c>
      <c r="U252" s="2" t="s">
        <v>7</v>
      </c>
    </row>
    <row r="253" spans="2:21" ht="89.25" x14ac:dyDescent="0.25">
      <c r="B253" s="12"/>
      <c r="C253" s="13" t="str">
        <f t="shared" si="19"/>
        <v>x</v>
      </c>
      <c r="D253" s="14" t="str">
        <f t="shared" ref="D253:D316" si="20">"#Matete Nro "&amp;H253&amp;CHAR(10)&amp;K253&amp;CHAR(10)&amp;L253&amp;" letras"&amp;CHAR(10)&amp;CHAR(10)&amp;"#Juegodepalabras #adivinanzas #crucigramas"</f>
        <v>#Matete Nro 58
Asentimiento del cruce entre asno y yegua
6 letras
#Juegodepalabras #adivinanzas #crucigramas</v>
      </c>
      <c r="E253" s="17"/>
      <c r="F253" s="17">
        <f t="shared" ref="F253:F316" si="21">LEN(D253)</f>
        <v>109</v>
      </c>
      <c r="G253" s="6">
        <v>655624</v>
      </c>
      <c r="H253" s="1">
        <v>58</v>
      </c>
      <c r="I253" s="2" t="s">
        <v>204</v>
      </c>
      <c r="J253" s="2" t="s">
        <v>207</v>
      </c>
      <c r="K253" s="2" t="s">
        <v>205</v>
      </c>
      <c r="L253" s="2">
        <f t="shared" si="18"/>
        <v>6</v>
      </c>
      <c r="M253" s="2" t="s">
        <v>2</v>
      </c>
      <c r="N253" s="2" t="s">
        <v>3</v>
      </c>
      <c r="O253" s="1">
        <v>6</v>
      </c>
      <c r="P253" s="2"/>
      <c r="Q253" s="2"/>
      <c r="R253" s="2"/>
      <c r="S253" s="2" t="s">
        <v>206</v>
      </c>
      <c r="U253" s="2" t="s">
        <v>7</v>
      </c>
    </row>
    <row r="254" spans="2:21" ht="89.25" x14ac:dyDescent="0.25">
      <c r="B254" s="12"/>
      <c r="C254" s="13" t="str">
        <f t="shared" si="19"/>
        <v>x</v>
      </c>
      <c r="D254" s="14" t="str">
        <f t="shared" si="20"/>
        <v>#Matete Nro 484
Ore el animal grande, peludo y con garras
8 letras
#Juegodepalabras #adivinanzas #crucigramas</v>
      </c>
      <c r="E254" s="17"/>
      <c r="F254" s="17">
        <f t="shared" si="21"/>
        <v>110</v>
      </c>
      <c r="G254" s="6">
        <v>657984</v>
      </c>
      <c r="H254" s="1">
        <v>484</v>
      </c>
      <c r="I254" s="2" t="s">
        <v>1358</v>
      </c>
      <c r="J254" s="2" t="s">
        <v>1358</v>
      </c>
      <c r="K254" s="2" t="s">
        <v>1359</v>
      </c>
      <c r="L254" s="2">
        <f t="shared" si="18"/>
        <v>8</v>
      </c>
      <c r="M254" s="2"/>
      <c r="N254" s="2" t="s">
        <v>83</v>
      </c>
      <c r="O254" s="1">
        <v>32</v>
      </c>
      <c r="P254" s="2"/>
      <c r="Q254" s="2"/>
      <c r="R254" s="2"/>
      <c r="S254" s="2" t="s">
        <v>1360</v>
      </c>
      <c r="U254" s="2" t="s">
        <v>740</v>
      </c>
    </row>
    <row r="255" spans="2:21" ht="89.25" x14ac:dyDescent="0.25">
      <c r="B255" s="12"/>
      <c r="C255" s="13" t="str">
        <f t="shared" si="19"/>
        <v>x</v>
      </c>
      <c r="D255" s="14" t="str">
        <f t="shared" si="20"/>
        <v>#Matete Nro 307
Estar a favor de los 3,14 años de una persona
9 letras
#Juegodepalabras #adivinanzas #crucigramas</v>
      </c>
      <c r="E255" s="17"/>
      <c r="F255" s="17">
        <f t="shared" si="21"/>
        <v>114</v>
      </c>
      <c r="G255" s="6">
        <v>662578</v>
      </c>
      <c r="H255" s="1">
        <v>307</v>
      </c>
      <c r="I255" s="2" t="s">
        <v>1018</v>
      </c>
      <c r="J255" s="2" t="s">
        <v>1018</v>
      </c>
      <c r="K255" s="2" t="s">
        <v>1019</v>
      </c>
      <c r="L255" s="2">
        <f t="shared" si="18"/>
        <v>9</v>
      </c>
      <c r="M255" s="2" t="s">
        <v>349</v>
      </c>
      <c r="N255" s="2" t="s">
        <v>83</v>
      </c>
      <c r="O255" s="1">
        <v>24</v>
      </c>
      <c r="P255" s="2" t="s">
        <v>1020</v>
      </c>
      <c r="Q255" s="2"/>
      <c r="R255" s="2"/>
      <c r="S255" s="2" t="s">
        <v>1021</v>
      </c>
      <c r="U255" s="2" t="s">
        <v>740</v>
      </c>
    </row>
    <row r="256" spans="2:21" ht="76.5" x14ac:dyDescent="0.25">
      <c r="B256" s="12"/>
      <c r="C256" s="13" t="str">
        <f t="shared" si="19"/>
        <v>x</v>
      </c>
      <c r="D256" s="14" t="str">
        <f t="shared" si="20"/>
        <v>#Matete Nro 140
Adición de límites
8 letras
#Juegodepalabras #adivinanzas #crucigramas</v>
      </c>
      <c r="E256" s="17"/>
      <c r="F256" s="17">
        <f t="shared" si="21"/>
        <v>87</v>
      </c>
      <c r="G256" s="6">
        <v>668327</v>
      </c>
      <c r="H256" s="1">
        <v>140</v>
      </c>
      <c r="I256" s="2" t="s">
        <v>492</v>
      </c>
      <c r="J256" s="2" t="s">
        <v>495</v>
      </c>
      <c r="K256" s="2" t="s">
        <v>493</v>
      </c>
      <c r="L256" s="2">
        <f t="shared" si="18"/>
        <v>8</v>
      </c>
      <c r="M256" s="2" t="s">
        <v>360</v>
      </c>
      <c r="N256" s="2" t="s">
        <v>3</v>
      </c>
      <c r="O256" s="1">
        <v>13</v>
      </c>
      <c r="P256" s="2"/>
      <c r="Q256" s="2"/>
      <c r="R256" s="2"/>
      <c r="S256" s="2" t="s">
        <v>494</v>
      </c>
      <c r="U256" s="2" t="s">
        <v>7</v>
      </c>
    </row>
    <row r="257" spans="2:21" ht="89.25" x14ac:dyDescent="0.25">
      <c r="B257" s="12"/>
      <c r="C257" s="13" t="str">
        <f t="shared" si="19"/>
        <v>x</v>
      </c>
      <c r="D257" s="14" t="str">
        <f t="shared" si="20"/>
        <v>#Matete Nro 364
Adquiero una línea de llegada pagando con dinero
10 letras
#Juegodepalabras #adivinanzas #crucigramas</v>
      </c>
      <c r="E257" s="17"/>
      <c r="F257" s="17">
        <f t="shared" si="21"/>
        <v>118</v>
      </c>
      <c r="G257" s="6">
        <v>669151</v>
      </c>
      <c r="H257" s="1">
        <v>364</v>
      </c>
      <c r="I257" s="2" t="s">
        <v>1158</v>
      </c>
      <c r="J257" s="2" t="s">
        <v>1161</v>
      </c>
      <c r="K257" s="2" t="s">
        <v>1159</v>
      </c>
      <c r="L257" s="2">
        <f t="shared" si="18"/>
        <v>10</v>
      </c>
      <c r="M257" s="2"/>
      <c r="N257" s="2" t="s">
        <v>3</v>
      </c>
      <c r="O257" s="1">
        <v>29</v>
      </c>
      <c r="P257" s="2"/>
      <c r="Q257" s="2"/>
      <c r="R257" s="2"/>
      <c r="S257" s="2" t="s">
        <v>1160</v>
      </c>
      <c r="U257" s="2" t="s">
        <v>740</v>
      </c>
    </row>
    <row r="258" spans="2:21" ht="89.25" x14ac:dyDescent="0.25">
      <c r="B258" s="12"/>
      <c r="C258" s="13" t="str">
        <f t="shared" si="19"/>
        <v>x</v>
      </c>
      <c r="D258" s="14" t="str">
        <f t="shared" si="20"/>
        <v>#Matete Nro 280
No digo la verdad de un color suave
10 letras
#Juegodepalabras #adivinanzas #crucigramas</v>
      </c>
      <c r="E258" s="17"/>
      <c r="F258" s="17">
        <f t="shared" si="21"/>
        <v>105</v>
      </c>
      <c r="G258" s="6">
        <v>669566</v>
      </c>
      <c r="H258" s="1">
        <v>280</v>
      </c>
      <c r="I258" s="2" t="s">
        <v>937</v>
      </c>
      <c r="J258" s="2" t="s">
        <v>940</v>
      </c>
      <c r="K258" s="2" t="s">
        <v>938</v>
      </c>
      <c r="L258" s="2">
        <f t="shared" ref="L258:L321" si="22">LEN(I258)</f>
        <v>10</v>
      </c>
      <c r="M258" s="2"/>
      <c r="N258" s="2" t="s">
        <v>3</v>
      </c>
      <c r="O258" s="1">
        <v>22</v>
      </c>
      <c r="P258" s="2"/>
      <c r="Q258" s="2"/>
      <c r="R258" s="2"/>
      <c r="S258" s="2" t="s">
        <v>939</v>
      </c>
      <c r="U258" s="2" t="s">
        <v>740</v>
      </c>
    </row>
    <row r="259" spans="2:21" ht="76.5" x14ac:dyDescent="0.25">
      <c r="B259" s="12"/>
      <c r="C259" s="13" t="str">
        <f t="shared" si="19"/>
        <v>x</v>
      </c>
      <c r="D259" s="14" t="str">
        <f t="shared" si="20"/>
        <v>#Matete Nro 198
Celebración del cacahuate
10 letras
#Juegodepalabras #adivinanzas #crucigramas</v>
      </c>
      <c r="E259" s="17"/>
      <c r="F259" s="17">
        <f t="shared" si="21"/>
        <v>95</v>
      </c>
      <c r="G259" s="6">
        <v>670910</v>
      </c>
      <c r="H259" s="1">
        <v>198</v>
      </c>
      <c r="I259" s="2" t="s">
        <v>685</v>
      </c>
      <c r="J259" s="2" t="s">
        <v>685</v>
      </c>
      <c r="K259" s="2" t="s">
        <v>686</v>
      </c>
      <c r="L259" s="2">
        <f t="shared" si="22"/>
        <v>10</v>
      </c>
      <c r="M259" s="2" t="s">
        <v>349</v>
      </c>
      <c r="N259" s="2" t="s">
        <v>3</v>
      </c>
      <c r="O259" s="1">
        <v>16</v>
      </c>
      <c r="P259" s="2"/>
      <c r="Q259" s="2"/>
      <c r="R259" s="2"/>
      <c r="S259" s="2" t="s">
        <v>687</v>
      </c>
      <c r="U259" s="2" t="s">
        <v>7</v>
      </c>
    </row>
    <row r="260" spans="2:21" ht="89.25" x14ac:dyDescent="0.25">
      <c r="B260" s="12"/>
      <c r="C260" s="13" t="str">
        <f t="shared" si="19"/>
        <v>x</v>
      </c>
      <c r="D260" s="14" t="str">
        <f t="shared" si="20"/>
        <v>#Matete Nro 237
Después de la que escribe en el pizarrón
7 letras
#Juegodepalabras #adivinanzas #crucigramas</v>
      </c>
      <c r="E260" s="17"/>
      <c r="F260" s="17">
        <f t="shared" si="21"/>
        <v>109</v>
      </c>
      <c r="G260" s="6">
        <v>671764</v>
      </c>
      <c r="H260" s="1">
        <v>237</v>
      </c>
      <c r="I260" s="2" t="s">
        <v>804</v>
      </c>
      <c r="J260" s="2" t="s">
        <v>804</v>
      </c>
      <c r="K260" s="2" t="s">
        <v>805</v>
      </c>
      <c r="L260" s="2">
        <f t="shared" si="22"/>
        <v>7</v>
      </c>
      <c r="M260" s="2"/>
      <c r="N260" s="2" t="s">
        <v>3</v>
      </c>
      <c r="O260" s="1">
        <v>19</v>
      </c>
      <c r="P260" s="2"/>
      <c r="Q260" s="2"/>
      <c r="R260" s="2"/>
      <c r="S260" s="2" t="s">
        <v>806</v>
      </c>
      <c r="U260" s="2" t="s">
        <v>740</v>
      </c>
    </row>
    <row r="261" spans="2:21" ht="89.25" x14ac:dyDescent="0.25">
      <c r="B261" s="12"/>
      <c r="C261" s="13" t="str">
        <f t="shared" si="19"/>
        <v>x</v>
      </c>
      <c r="D261" s="14" t="str">
        <f t="shared" si="20"/>
        <v>#Matete Nro 210
Primera letra nombra a una bebida proveniente de la uva
7 letras
#Juegodepalabras #adivinanzas #crucigramas</v>
      </c>
      <c r="E261" s="17"/>
      <c r="F261" s="17">
        <f t="shared" si="21"/>
        <v>124</v>
      </c>
      <c r="G261" s="6">
        <v>672378</v>
      </c>
      <c r="H261" s="1">
        <v>210</v>
      </c>
      <c r="I261" s="2" t="s">
        <v>717</v>
      </c>
      <c r="J261" s="2" t="s">
        <v>717</v>
      </c>
      <c r="K261" s="2" t="s">
        <v>718</v>
      </c>
      <c r="L261" s="2">
        <f t="shared" si="22"/>
        <v>7</v>
      </c>
      <c r="M261" s="2"/>
      <c r="N261" s="2" t="s">
        <v>83</v>
      </c>
      <c r="O261" s="1">
        <v>17</v>
      </c>
      <c r="P261" s="2"/>
      <c r="Q261" s="2"/>
      <c r="R261" s="2"/>
      <c r="S261" s="2" t="s">
        <v>719</v>
      </c>
      <c r="U261" s="2" t="s">
        <v>7</v>
      </c>
    </row>
    <row r="262" spans="2:21" ht="89.25" x14ac:dyDescent="0.25">
      <c r="B262" s="12"/>
      <c r="C262" s="13" t="str">
        <f t="shared" si="19"/>
        <v>x</v>
      </c>
      <c r="D262" s="14" t="str">
        <f t="shared" si="20"/>
        <v>#Matete Nro 258
Coloca tú la letra que sigue a la p
5 letras
#Juegodepalabras #adivinanzas #crucigramas</v>
      </c>
      <c r="E262" s="17"/>
      <c r="F262" s="17">
        <f t="shared" si="21"/>
        <v>104</v>
      </c>
      <c r="G262" s="6">
        <v>673601</v>
      </c>
      <c r="H262" s="1">
        <v>258</v>
      </c>
      <c r="I262" s="2" t="s">
        <v>862</v>
      </c>
      <c r="J262" s="2" t="s">
        <v>865</v>
      </c>
      <c r="K262" s="2" t="s">
        <v>863</v>
      </c>
      <c r="L262" s="2">
        <f t="shared" si="22"/>
        <v>5</v>
      </c>
      <c r="M262" s="2"/>
      <c r="N262" s="2" t="s">
        <v>3</v>
      </c>
      <c r="O262" s="1">
        <v>20</v>
      </c>
      <c r="P262" s="2"/>
      <c r="Q262" s="2"/>
      <c r="R262" s="2"/>
      <c r="S262" s="2" t="s">
        <v>864</v>
      </c>
      <c r="U262" s="2" t="s">
        <v>740</v>
      </c>
    </row>
    <row r="263" spans="2:21" ht="89.25" x14ac:dyDescent="0.25">
      <c r="B263" s="12"/>
      <c r="C263" s="13" t="str">
        <f t="shared" si="19"/>
        <v>x</v>
      </c>
      <c r="D263" s="14" t="str">
        <f t="shared" si="20"/>
        <v>#Matete Nro 638
Enumeración de planta aromática
10 letras
#Juegodepalabras #adivinanzas #crucigramas</v>
      </c>
      <c r="E263" s="17"/>
      <c r="F263" s="17">
        <f t="shared" si="21"/>
        <v>101</v>
      </c>
      <c r="G263" s="6">
        <v>673974</v>
      </c>
      <c r="H263" s="1">
        <v>638</v>
      </c>
      <c r="I263" s="2" t="s">
        <v>1575</v>
      </c>
      <c r="J263" s="2" t="s">
        <v>1575</v>
      </c>
      <c r="K263" s="2" t="s">
        <v>1576</v>
      </c>
      <c r="L263" s="2">
        <f t="shared" si="22"/>
        <v>10</v>
      </c>
      <c r="M263" s="2"/>
      <c r="N263" s="2" t="s">
        <v>3</v>
      </c>
      <c r="O263" s="1">
        <v>35</v>
      </c>
      <c r="P263" s="2"/>
      <c r="Q263" s="2"/>
      <c r="R263" s="2"/>
      <c r="S263" s="2" t="s">
        <v>1577</v>
      </c>
      <c r="U263" s="2" t="s">
        <v>1423</v>
      </c>
    </row>
    <row r="264" spans="2:21" ht="76.5" x14ac:dyDescent="0.25">
      <c r="B264" s="12"/>
      <c r="C264" s="13" t="str">
        <f t="shared" si="19"/>
        <v>x</v>
      </c>
      <c r="D264" s="14" t="str">
        <f t="shared" si="20"/>
        <v>#Matete Nro 63
Asesiné al que asesinó a la D
8 letras
#Juegodepalabras #adivinanzas #crucigramas</v>
      </c>
      <c r="E264" s="17"/>
      <c r="F264" s="17">
        <f t="shared" si="21"/>
        <v>97</v>
      </c>
      <c r="G264" s="6">
        <v>675324</v>
      </c>
      <c r="H264" s="1">
        <v>63</v>
      </c>
      <c r="I264" s="2" t="s">
        <v>221</v>
      </c>
      <c r="J264" s="2" t="s">
        <v>224</v>
      </c>
      <c r="K264" s="2" t="s">
        <v>222</v>
      </c>
      <c r="L264" s="2">
        <f t="shared" si="22"/>
        <v>8</v>
      </c>
      <c r="M264" s="2" t="s">
        <v>39</v>
      </c>
      <c r="N264" s="2" t="s">
        <v>3</v>
      </c>
      <c r="O264" s="1">
        <v>6</v>
      </c>
      <c r="P264" s="2"/>
      <c r="Q264" s="2"/>
      <c r="R264" s="2"/>
      <c r="S264" s="2" t="s">
        <v>223</v>
      </c>
      <c r="U264" s="2" t="s">
        <v>7</v>
      </c>
    </row>
    <row r="265" spans="2:21" ht="89.25" x14ac:dyDescent="0.25">
      <c r="B265" s="12"/>
      <c r="C265" s="13" t="str">
        <f t="shared" si="19"/>
        <v>x</v>
      </c>
      <c r="D265" s="14" t="str">
        <f t="shared" si="20"/>
        <v>#Matete Nro 79
Dícese del egresado que no realizó el trabajo final
8 letras
#Juegodepalabras #adivinanzas #crucigramas</v>
      </c>
      <c r="E265" s="17"/>
      <c r="F265" s="17">
        <f t="shared" si="21"/>
        <v>119</v>
      </c>
      <c r="G265" s="6">
        <v>684442</v>
      </c>
      <c r="H265" s="1">
        <v>79</v>
      </c>
      <c r="I265" s="2" t="s">
        <v>278</v>
      </c>
      <c r="J265" s="2" t="s">
        <v>281</v>
      </c>
      <c r="K265" s="2" t="s">
        <v>279</v>
      </c>
      <c r="L265" s="2">
        <f t="shared" si="22"/>
        <v>8</v>
      </c>
      <c r="M265" s="2" t="s">
        <v>2</v>
      </c>
      <c r="N265" s="2" t="s">
        <v>3</v>
      </c>
      <c r="O265" s="1">
        <v>8</v>
      </c>
      <c r="P265" s="2"/>
      <c r="Q265" s="2"/>
      <c r="R265" s="2"/>
      <c r="S265" s="2" t="s">
        <v>280</v>
      </c>
      <c r="U265" s="2" t="s">
        <v>7</v>
      </c>
    </row>
    <row r="266" spans="2:21" ht="89.25" x14ac:dyDescent="0.25">
      <c r="B266" s="12"/>
      <c r="C266" s="13" t="str">
        <f t="shared" si="19"/>
        <v>x</v>
      </c>
      <c r="D266" s="14" t="str">
        <f t="shared" si="20"/>
        <v>#Matete Nro 592
Anuda la verdura que espanta a Drácula
5 letras
#Juegodepalabras #adivinanzas #crucigramas</v>
      </c>
      <c r="E266" s="17"/>
      <c r="F266" s="17">
        <f t="shared" si="21"/>
        <v>107</v>
      </c>
      <c r="G266" s="6">
        <v>686761</v>
      </c>
      <c r="H266" s="1">
        <v>592</v>
      </c>
      <c r="I266" s="2" t="s">
        <v>1519</v>
      </c>
      <c r="J266" s="2" t="s">
        <v>1519</v>
      </c>
      <c r="K266" s="2" t="s">
        <v>1520</v>
      </c>
      <c r="L266" s="2">
        <f t="shared" si="22"/>
        <v>5</v>
      </c>
      <c r="M266" s="2"/>
      <c r="N266" s="2" t="s">
        <v>76</v>
      </c>
      <c r="O266" s="1">
        <v>35</v>
      </c>
      <c r="P266" s="2"/>
      <c r="Q266" s="2"/>
      <c r="R266" s="2"/>
      <c r="S266" s="2" t="s">
        <v>1521</v>
      </c>
      <c r="U266" s="2" t="s">
        <v>1423</v>
      </c>
    </row>
    <row r="267" spans="2:21" ht="89.25" x14ac:dyDescent="0.25">
      <c r="B267" s="12"/>
      <c r="C267" s="13" t="str">
        <f t="shared" si="19"/>
        <v>x</v>
      </c>
      <c r="D267" s="14" t="str">
        <f t="shared" si="20"/>
        <v>#Matete Nro 216
Cantidad de años no agudos de una persona
8 letras
#Juegodepalabras #adivinanzas #crucigramas</v>
      </c>
      <c r="E267" s="17"/>
      <c r="F267" s="17">
        <f t="shared" si="21"/>
        <v>110</v>
      </c>
      <c r="G267" s="6">
        <v>690267</v>
      </c>
      <c r="H267" s="1">
        <v>216</v>
      </c>
      <c r="I267" s="2" t="s">
        <v>733</v>
      </c>
      <c r="J267" s="2" t="s">
        <v>733</v>
      </c>
      <c r="K267" s="2" t="s">
        <v>734</v>
      </c>
      <c r="L267" s="2">
        <f t="shared" si="22"/>
        <v>8</v>
      </c>
      <c r="M267" s="2"/>
      <c r="N267" s="2" t="s">
        <v>76</v>
      </c>
      <c r="O267" s="1">
        <v>17</v>
      </c>
      <c r="P267" s="2" t="s">
        <v>735</v>
      </c>
      <c r="Q267" s="2"/>
      <c r="R267" s="2"/>
      <c r="S267" s="2" t="s">
        <v>736</v>
      </c>
      <c r="U267" s="2" t="s">
        <v>7</v>
      </c>
    </row>
    <row r="268" spans="2:21" ht="89.25" x14ac:dyDescent="0.25">
      <c r="B268" s="12"/>
      <c r="C268" s="13" t="str">
        <f t="shared" si="19"/>
        <v>x</v>
      </c>
      <c r="D268" s="14" t="str">
        <f t="shared" si="20"/>
        <v>#Matete Nro 702
Agita rápidamente una consonante
6 letras
#Juegodepalabras #adivinanzas #crucigramas</v>
      </c>
      <c r="E268" s="17"/>
      <c r="F268" s="17">
        <f t="shared" si="21"/>
        <v>101</v>
      </c>
      <c r="G268" s="6">
        <v>693609</v>
      </c>
      <c r="H268" s="1">
        <v>702</v>
      </c>
      <c r="I268" s="2" t="s">
        <v>1666</v>
      </c>
      <c r="J268" s="2" t="s">
        <v>1666</v>
      </c>
      <c r="K268" s="2" t="s">
        <v>1667</v>
      </c>
      <c r="L268" s="2">
        <f t="shared" si="22"/>
        <v>6</v>
      </c>
      <c r="M268" s="2" t="s">
        <v>360</v>
      </c>
      <c r="N268" s="2" t="s">
        <v>3</v>
      </c>
      <c r="O268" s="1">
        <v>36</v>
      </c>
      <c r="P268" s="2"/>
      <c r="Q268" s="2"/>
      <c r="R268" s="2"/>
      <c r="S268" s="2" t="s">
        <v>1668</v>
      </c>
      <c r="U268" s="2" t="s">
        <v>1423</v>
      </c>
    </row>
    <row r="269" spans="2:21" ht="89.25" x14ac:dyDescent="0.25">
      <c r="B269" s="15"/>
      <c r="C269" s="13" t="str">
        <f t="shared" si="19"/>
        <v>x</v>
      </c>
      <c r="D269" s="14" t="str">
        <f t="shared" si="20"/>
        <v>#Matete Nro 10
Estatura de la masa de harina y agua cocida al horno
8 letras
#Juegodepalabras #adivinanzas #crucigramas</v>
      </c>
      <c r="E269" s="17"/>
      <c r="F269" s="17">
        <f t="shared" si="21"/>
        <v>120</v>
      </c>
      <c r="G269" s="6">
        <v>694615</v>
      </c>
      <c r="H269" s="1">
        <v>10</v>
      </c>
      <c r="I269" s="2" t="s">
        <v>37</v>
      </c>
      <c r="J269" s="2" t="s">
        <v>37</v>
      </c>
      <c r="K269" s="2" t="s">
        <v>38</v>
      </c>
      <c r="L269" s="2">
        <f t="shared" si="22"/>
        <v>8</v>
      </c>
      <c r="M269" s="2" t="s">
        <v>39</v>
      </c>
      <c r="N269" s="2" t="s">
        <v>3</v>
      </c>
      <c r="O269" s="1">
        <v>1</v>
      </c>
      <c r="P269" s="2" t="s">
        <v>40</v>
      </c>
      <c r="Q269" s="2"/>
      <c r="R269" s="2"/>
      <c r="S269" s="2" t="s">
        <v>41</v>
      </c>
      <c r="U269" s="2" t="s">
        <v>7</v>
      </c>
    </row>
    <row r="270" spans="2:21" ht="76.5" x14ac:dyDescent="0.25">
      <c r="B270" s="12"/>
      <c r="C270" s="13" t="str">
        <f t="shared" si="19"/>
        <v>x</v>
      </c>
      <c r="D270" s="14" t="str">
        <f t="shared" si="20"/>
        <v>#Matete Nro 161
Acción de deshacer un triunfo
8 letras
#Juegodepalabras #adivinanzas #crucigramas</v>
      </c>
      <c r="E270" s="17"/>
      <c r="F270" s="17">
        <f t="shared" si="21"/>
        <v>98</v>
      </c>
      <c r="G270" s="6">
        <v>696271</v>
      </c>
      <c r="H270" s="1">
        <v>161</v>
      </c>
      <c r="I270" s="2" t="s">
        <v>562</v>
      </c>
      <c r="J270" s="2" t="s">
        <v>566</v>
      </c>
      <c r="K270" s="2" t="s">
        <v>563</v>
      </c>
      <c r="L270" s="2">
        <f t="shared" si="22"/>
        <v>8</v>
      </c>
      <c r="M270" s="2"/>
      <c r="N270" s="2" t="s">
        <v>3</v>
      </c>
      <c r="O270" s="1">
        <v>15</v>
      </c>
      <c r="P270" s="2" t="s">
        <v>564</v>
      </c>
      <c r="Q270" s="2"/>
      <c r="R270" s="2"/>
      <c r="S270" s="2" t="s">
        <v>565</v>
      </c>
      <c r="U270" s="2" t="s">
        <v>7</v>
      </c>
    </row>
    <row r="271" spans="2:21" ht="89.25" x14ac:dyDescent="0.25">
      <c r="B271" s="12"/>
      <c r="C271" s="13" t="str">
        <f t="shared" si="19"/>
        <v>x</v>
      </c>
      <c r="D271" s="14" t="str">
        <f t="shared" si="20"/>
        <v>#Matete Nro 692
Versión negativa de una planta trepadora herbácea
6 letras
#Juegodepalabras #adivinanzas #crucigramas</v>
      </c>
      <c r="E271" s="17"/>
      <c r="F271" s="17">
        <f t="shared" si="21"/>
        <v>118</v>
      </c>
      <c r="G271" s="6">
        <v>696778</v>
      </c>
      <c r="H271" s="1">
        <v>692</v>
      </c>
      <c r="I271" s="2" t="s">
        <v>1650</v>
      </c>
      <c r="J271" s="2"/>
      <c r="K271" s="2" t="s">
        <v>1651</v>
      </c>
      <c r="L271" s="2">
        <f t="shared" si="22"/>
        <v>6</v>
      </c>
      <c r="M271" s="2" t="s">
        <v>68</v>
      </c>
      <c r="N271" s="2" t="s">
        <v>3</v>
      </c>
      <c r="O271" s="1">
        <v>36</v>
      </c>
      <c r="P271" s="2"/>
      <c r="Q271" s="2"/>
      <c r="R271" s="2"/>
      <c r="S271" s="2" t="s">
        <v>1652</v>
      </c>
      <c r="U271" s="2" t="s">
        <v>1423</v>
      </c>
    </row>
    <row r="272" spans="2:21" ht="89.25" x14ac:dyDescent="0.25">
      <c r="B272" s="12"/>
      <c r="C272" s="13" t="str">
        <f t="shared" si="19"/>
        <v>x</v>
      </c>
      <c r="D272" s="14" t="str">
        <f t="shared" si="20"/>
        <v>#Matete Nro 644
Entregamos ganas de tomar agua
7 letras
#Juegodepalabras #adivinanzas #crucigramas</v>
      </c>
      <c r="E272" s="17"/>
      <c r="F272" s="17">
        <f t="shared" si="21"/>
        <v>99</v>
      </c>
      <c r="G272" s="6">
        <v>697466</v>
      </c>
      <c r="H272" s="1">
        <v>644</v>
      </c>
      <c r="I272" s="2" t="s">
        <v>1578</v>
      </c>
      <c r="J272" s="2" t="s">
        <v>1581</v>
      </c>
      <c r="K272" s="2" t="s">
        <v>1579</v>
      </c>
      <c r="L272" s="2">
        <f t="shared" si="22"/>
        <v>7</v>
      </c>
      <c r="M272" s="2"/>
      <c r="N272" s="2" t="s">
        <v>3</v>
      </c>
      <c r="O272" s="1">
        <v>35</v>
      </c>
      <c r="P272" s="2"/>
      <c r="Q272" s="2"/>
      <c r="R272" s="2"/>
      <c r="S272" s="2" t="s">
        <v>1580</v>
      </c>
      <c r="U272" s="2" t="s">
        <v>1423</v>
      </c>
    </row>
    <row r="273" spans="2:21" ht="89.25" x14ac:dyDescent="0.25">
      <c r="B273" s="12"/>
      <c r="C273" s="13" t="str">
        <f t="shared" si="19"/>
        <v>x</v>
      </c>
      <c r="D273" s="14" t="str">
        <f t="shared" si="20"/>
        <v>#Matete Nro 299
Lugar donde se empolla el sobrecito de té
8 letras
#Juegodepalabras #adivinanzas #crucigramas</v>
      </c>
      <c r="E273" s="17"/>
      <c r="F273" s="17">
        <f t="shared" si="21"/>
        <v>110</v>
      </c>
      <c r="G273" s="6">
        <v>702667</v>
      </c>
      <c r="H273" s="1">
        <v>299</v>
      </c>
      <c r="I273" s="2" t="s">
        <v>991</v>
      </c>
      <c r="J273" s="2" t="s">
        <v>991</v>
      </c>
      <c r="K273" s="2" t="s">
        <v>992</v>
      </c>
      <c r="L273" s="2">
        <f t="shared" si="22"/>
        <v>8</v>
      </c>
      <c r="M273" s="2" t="s">
        <v>473</v>
      </c>
      <c r="N273" s="2" t="s">
        <v>83</v>
      </c>
      <c r="O273" s="1">
        <v>23</v>
      </c>
      <c r="P273" s="2"/>
      <c r="Q273" s="2"/>
      <c r="R273" s="2"/>
      <c r="S273" s="2" t="s">
        <v>993</v>
      </c>
      <c r="U273" s="2" t="s">
        <v>740</v>
      </c>
    </row>
    <row r="274" spans="2:21" ht="76.5" x14ac:dyDescent="0.25">
      <c r="B274" s="12"/>
      <c r="C274" s="13" t="str">
        <f t="shared" si="19"/>
        <v>x</v>
      </c>
      <c r="D274" s="14" t="str">
        <f t="shared" si="20"/>
        <v>#Matete Nro 340
Junté partes de un poema
9 letras
#Juegodepalabras #adivinanzas #crucigramas</v>
      </c>
      <c r="E274" s="17"/>
      <c r="F274" s="17">
        <f t="shared" si="21"/>
        <v>93</v>
      </c>
      <c r="G274" s="6">
        <v>706215</v>
      </c>
      <c r="H274" s="1">
        <v>340</v>
      </c>
      <c r="I274" s="2" t="s">
        <v>1120</v>
      </c>
      <c r="J274" s="2" t="s">
        <v>1120</v>
      </c>
      <c r="K274" s="2" t="s">
        <v>1121</v>
      </c>
      <c r="L274" s="2">
        <f t="shared" si="22"/>
        <v>9</v>
      </c>
      <c r="M274" s="2"/>
      <c r="N274" s="2" t="s">
        <v>3</v>
      </c>
      <c r="O274" s="1">
        <v>28</v>
      </c>
      <c r="P274" s="2"/>
      <c r="Q274" s="2"/>
      <c r="R274" s="2"/>
      <c r="S274" s="2" t="s">
        <v>1122</v>
      </c>
      <c r="U274" s="2" t="s">
        <v>740</v>
      </c>
    </row>
    <row r="275" spans="2:21" ht="102" x14ac:dyDescent="0.25">
      <c r="B275" s="12"/>
      <c r="C275" s="13" t="str">
        <f t="shared" si="19"/>
        <v>x</v>
      </c>
      <c r="D275" s="14" t="str">
        <f t="shared" si="20"/>
        <v>#Matete Nro 262
Se afirma que la primera mujer bíblica se dirige hacia un lugar
7 letras
#Juegodepalabras #adivinanzas #crucigramas</v>
      </c>
      <c r="E275" s="17"/>
      <c r="F275" s="17">
        <f t="shared" si="21"/>
        <v>132</v>
      </c>
      <c r="G275" s="6">
        <v>706573</v>
      </c>
      <c r="H275" s="1">
        <v>262</v>
      </c>
      <c r="I275" s="2" t="s">
        <v>877</v>
      </c>
      <c r="J275" s="2" t="s">
        <v>877</v>
      </c>
      <c r="K275" s="2" t="s">
        <v>878</v>
      </c>
      <c r="L275" s="2">
        <f t="shared" si="22"/>
        <v>7</v>
      </c>
      <c r="M275" s="2"/>
      <c r="N275" s="2" t="s">
        <v>83</v>
      </c>
      <c r="O275" s="1">
        <v>21</v>
      </c>
      <c r="P275" s="2"/>
      <c r="Q275" s="2"/>
      <c r="R275" s="2"/>
      <c r="S275" s="2" t="s">
        <v>879</v>
      </c>
      <c r="U275" s="2" t="s">
        <v>740</v>
      </c>
    </row>
    <row r="276" spans="2:21" ht="89.25" x14ac:dyDescent="0.25">
      <c r="B276" s="12"/>
      <c r="C276" s="13" t="str">
        <f t="shared" si="19"/>
        <v>x</v>
      </c>
      <c r="D276" s="14" t="str">
        <f t="shared" si="20"/>
        <v>#Matete Nro 240
Tuve un hijo dentro de una infusión china
8 letras
#Juegodepalabras #adivinanzas #crucigramas</v>
      </c>
      <c r="E276" s="17"/>
      <c r="F276" s="17">
        <f t="shared" si="21"/>
        <v>110</v>
      </c>
      <c r="G276" s="6">
        <v>708180</v>
      </c>
      <c r="H276" s="1">
        <v>240</v>
      </c>
      <c r="I276" s="2" t="s">
        <v>810</v>
      </c>
      <c r="J276" s="2" t="s">
        <v>810</v>
      </c>
      <c r="K276" s="2" t="s">
        <v>811</v>
      </c>
      <c r="L276" s="2">
        <f t="shared" si="22"/>
        <v>8</v>
      </c>
      <c r="M276" s="2"/>
      <c r="N276" s="2" t="s">
        <v>83</v>
      </c>
      <c r="O276" s="1">
        <v>19</v>
      </c>
      <c r="P276" s="2" t="s">
        <v>812</v>
      </c>
      <c r="Q276" s="2"/>
      <c r="R276" s="2"/>
      <c r="S276" s="2" t="s">
        <v>813</v>
      </c>
      <c r="U276" s="2" t="s">
        <v>740</v>
      </c>
    </row>
    <row r="277" spans="2:21" ht="76.5" x14ac:dyDescent="0.25">
      <c r="B277" s="12"/>
      <c r="C277" s="13" t="str">
        <f t="shared" si="19"/>
        <v>x</v>
      </c>
      <c r="D277" s="14" t="str">
        <f t="shared" si="20"/>
        <v>#Matete Nro 650
365 días en sesenta minutos
5 letras
#Juegodepalabras #adivinanzas #crucigramas</v>
      </c>
      <c r="E277" s="17"/>
      <c r="F277" s="17">
        <f t="shared" si="21"/>
        <v>96</v>
      </c>
      <c r="G277" s="6">
        <v>708507</v>
      </c>
      <c r="H277" s="1">
        <v>650</v>
      </c>
      <c r="I277" s="2" t="s">
        <v>1588</v>
      </c>
      <c r="J277" s="2" t="s">
        <v>1591</v>
      </c>
      <c r="K277" s="2" t="s">
        <v>1589</v>
      </c>
      <c r="L277" s="2">
        <f t="shared" si="22"/>
        <v>5</v>
      </c>
      <c r="M277" s="2"/>
      <c r="N277" s="2" t="s">
        <v>76</v>
      </c>
      <c r="O277" s="1">
        <v>35</v>
      </c>
      <c r="P277" s="2"/>
      <c r="Q277" s="2"/>
      <c r="R277" s="2"/>
      <c r="S277" s="2" t="s">
        <v>1590</v>
      </c>
      <c r="U277" s="2" t="s">
        <v>1423</v>
      </c>
    </row>
    <row r="278" spans="2:21" ht="89.25" x14ac:dyDescent="0.25">
      <c r="B278" s="12"/>
      <c r="C278" s="13" t="str">
        <f t="shared" si="19"/>
        <v>x</v>
      </c>
      <c r="D278" s="14" t="str">
        <f t="shared" si="20"/>
        <v>#Matete Nro 384
Peces posteriores a la primera lengua
9 letras
#Juegodepalabras #adivinanzas #crucigramas</v>
      </c>
      <c r="E278" s="17"/>
      <c r="F278" s="17">
        <f t="shared" si="21"/>
        <v>106</v>
      </c>
      <c r="G278" s="6">
        <v>710806</v>
      </c>
      <c r="H278" s="1">
        <v>384</v>
      </c>
      <c r="I278" s="2" t="s">
        <v>1193</v>
      </c>
      <c r="J278" s="2" t="s">
        <v>1193</v>
      </c>
      <c r="K278" s="2" t="s">
        <v>1194</v>
      </c>
      <c r="L278" s="2">
        <f t="shared" si="22"/>
        <v>9</v>
      </c>
      <c r="M278" s="2"/>
      <c r="N278" s="2" t="s">
        <v>3</v>
      </c>
      <c r="O278" s="1">
        <v>29</v>
      </c>
      <c r="P278" s="2"/>
      <c r="Q278" s="2"/>
      <c r="R278" s="2"/>
      <c r="S278" s="2" t="s">
        <v>1195</v>
      </c>
      <c r="U278" s="2" t="s">
        <v>740</v>
      </c>
    </row>
    <row r="279" spans="2:21" ht="89.25" x14ac:dyDescent="0.25">
      <c r="B279" s="12"/>
      <c r="C279" s="13" t="str">
        <f t="shared" si="19"/>
        <v>x</v>
      </c>
      <c r="D279" s="14" t="str">
        <f t="shared" si="20"/>
        <v>#Matete Nro 442
Vine al mundo encendido en inglés
6 letras
#Juegodepalabras #adivinanzas #crucigramas</v>
      </c>
      <c r="E279" s="17"/>
      <c r="F279" s="17">
        <f t="shared" si="21"/>
        <v>102</v>
      </c>
      <c r="G279" s="6">
        <v>714010</v>
      </c>
      <c r="H279" s="1">
        <v>442</v>
      </c>
      <c r="I279" s="2" t="s">
        <v>1285</v>
      </c>
      <c r="J279" s="2" t="s">
        <v>1288</v>
      </c>
      <c r="K279" s="2" t="s">
        <v>1286</v>
      </c>
      <c r="L279" s="2">
        <f t="shared" si="22"/>
        <v>6</v>
      </c>
      <c r="M279" s="2" t="s">
        <v>68</v>
      </c>
      <c r="N279" s="2" t="s">
        <v>195</v>
      </c>
      <c r="O279" s="1">
        <v>30</v>
      </c>
      <c r="P279" s="2"/>
      <c r="Q279" s="2"/>
      <c r="R279" s="2"/>
      <c r="S279" s="2" t="s">
        <v>1287</v>
      </c>
      <c r="U279" s="2" t="s">
        <v>740</v>
      </c>
    </row>
    <row r="280" spans="2:21" ht="89.25" x14ac:dyDescent="0.25">
      <c r="B280" s="12"/>
      <c r="C280" s="13" t="str">
        <f t="shared" si="19"/>
        <v>x</v>
      </c>
      <c r="D280" s="14" t="str">
        <f t="shared" si="20"/>
        <v>#Matete Nro 409
Madre abreviada con tres lazos anudados en el cuello
10 letras
#Juegodepalabras #adivinanzas #crucigramas</v>
      </c>
      <c r="E280" s="17"/>
      <c r="F280" s="17">
        <f t="shared" si="21"/>
        <v>122</v>
      </c>
      <c r="G280" s="6">
        <v>714067</v>
      </c>
      <c r="H280" s="1">
        <v>409</v>
      </c>
      <c r="I280" s="2" t="s">
        <v>1236</v>
      </c>
      <c r="J280" s="2" t="s">
        <v>1236</v>
      </c>
      <c r="K280" s="2" t="s">
        <v>1237</v>
      </c>
      <c r="L280" s="2">
        <f t="shared" si="22"/>
        <v>10</v>
      </c>
      <c r="M280" s="2" t="s">
        <v>349</v>
      </c>
      <c r="N280" s="2" t="s">
        <v>83</v>
      </c>
      <c r="O280" s="1">
        <v>29</v>
      </c>
      <c r="P280" s="2"/>
      <c r="Q280" s="2"/>
      <c r="R280" s="2"/>
      <c r="S280" s="2" t="s">
        <v>1238</v>
      </c>
      <c r="U280" s="2" t="s">
        <v>740</v>
      </c>
    </row>
    <row r="281" spans="2:21" ht="89.25" x14ac:dyDescent="0.25">
      <c r="B281" s="12"/>
      <c r="C281" s="13" t="str">
        <f t="shared" si="19"/>
        <v>x</v>
      </c>
      <c r="D281" s="14" t="str">
        <f t="shared" si="20"/>
        <v>#Matete Nro 303
A favor de un mueble de cuatro patas
7 letras
#Juegodepalabras #adivinanzas #crucigramas</v>
      </c>
      <c r="E281" s="17"/>
      <c r="F281" s="17">
        <f t="shared" si="21"/>
        <v>105</v>
      </c>
      <c r="G281" s="6">
        <v>715218</v>
      </c>
      <c r="H281" s="1">
        <v>303</v>
      </c>
      <c r="I281" s="2" t="s">
        <v>1005</v>
      </c>
      <c r="J281" s="2" t="s">
        <v>1005</v>
      </c>
      <c r="K281" s="2" t="s">
        <v>1006</v>
      </c>
      <c r="L281" s="2">
        <f t="shared" si="22"/>
        <v>7</v>
      </c>
      <c r="M281" s="2" t="s">
        <v>349</v>
      </c>
      <c r="N281" s="2" t="s">
        <v>3</v>
      </c>
      <c r="O281" s="1">
        <v>23</v>
      </c>
      <c r="P281" s="2"/>
      <c r="Q281" s="2"/>
      <c r="R281" s="2"/>
      <c r="S281" s="2" t="s">
        <v>1007</v>
      </c>
      <c r="U281" s="2" t="s">
        <v>740</v>
      </c>
    </row>
    <row r="282" spans="2:21" ht="89.25" x14ac:dyDescent="0.25">
      <c r="B282" s="12"/>
      <c r="C282" s="13" t="str">
        <f t="shared" si="19"/>
        <v>x</v>
      </c>
      <c r="D282" s="14" t="str">
        <f t="shared" si="20"/>
        <v>#Matete Nro 626
Conjunción de unos y ninguna otra cosa
9 letras
#Juegodepalabras #adivinanzas #crucigramas</v>
      </c>
      <c r="E282" s="17"/>
      <c r="F282" s="17">
        <f t="shared" si="21"/>
        <v>107</v>
      </c>
      <c r="G282" s="6">
        <v>718588</v>
      </c>
      <c r="H282" s="1">
        <v>626</v>
      </c>
      <c r="I282" s="2" t="s">
        <v>1556</v>
      </c>
      <c r="J282" s="2" t="s">
        <v>1559</v>
      </c>
      <c r="K282" s="2" t="s">
        <v>1557</v>
      </c>
      <c r="L282" s="2">
        <f t="shared" si="22"/>
        <v>9</v>
      </c>
      <c r="M282" s="2"/>
      <c r="N282" s="2" t="s">
        <v>83</v>
      </c>
      <c r="O282" s="1">
        <v>35</v>
      </c>
      <c r="P282" s="2"/>
      <c r="Q282" s="2"/>
      <c r="R282" s="2"/>
      <c r="S282" s="2" t="s">
        <v>1558</v>
      </c>
      <c r="U282" s="2" t="s">
        <v>1423</v>
      </c>
    </row>
    <row r="283" spans="2:21" ht="89.25" x14ac:dyDescent="0.25">
      <c r="B283" s="12"/>
      <c r="C283" s="13" t="str">
        <f t="shared" si="19"/>
        <v>x</v>
      </c>
      <c r="D283" s="14" t="str">
        <f t="shared" si="20"/>
        <v>#Matete Nro 418
Ingiere a la hermana de su progenitor
7 letras
#Juegodepalabras #adivinanzas #crucigramas</v>
      </c>
      <c r="E283" s="17"/>
      <c r="F283" s="17">
        <f t="shared" si="21"/>
        <v>106</v>
      </c>
      <c r="G283" s="6">
        <v>719234</v>
      </c>
      <c r="H283" s="1">
        <v>418</v>
      </c>
      <c r="I283" s="2" t="s">
        <v>1250</v>
      </c>
      <c r="J283" s="2" t="s">
        <v>1253</v>
      </c>
      <c r="K283" s="2" t="s">
        <v>1251</v>
      </c>
      <c r="L283" s="2">
        <f t="shared" si="22"/>
        <v>7</v>
      </c>
      <c r="M283" s="2" t="s">
        <v>68</v>
      </c>
      <c r="N283" s="2" t="s">
        <v>3</v>
      </c>
      <c r="O283" s="1">
        <v>30</v>
      </c>
      <c r="P283" s="2"/>
      <c r="Q283" s="2"/>
      <c r="R283" s="2"/>
      <c r="S283" s="2" t="s">
        <v>1252</v>
      </c>
      <c r="U283" s="2" t="s">
        <v>740</v>
      </c>
    </row>
    <row r="284" spans="2:21" ht="89.25" x14ac:dyDescent="0.25">
      <c r="B284" s="12"/>
      <c r="C284" s="13" t="str">
        <f t="shared" si="19"/>
        <v>x</v>
      </c>
      <c r="D284" s="14" t="str">
        <f t="shared" si="20"/>
        <v>#Matete Nro 504
Causa en función de su consecuencia
8 letras
#Juegodepalabras #adivinanzas #crucigramas</v>
      </c>
      <c r="E284" s="17"/>
      <c r="F284" s="17">
        <f t="shared" si="21"/>
        <v>104</v>
      </c>
      <c r="G284" s="6">
        <v>719774</v>
      </c>
      <c r="H284" s="1">
        <v>504</v>
      </c>
      <c r="I284" s="2" t="s">
        <v>1386</v>
      </c>
      <c r="J284" s="2" t="s">
        <v>1386</v>
      </c>
      <c r="K284" s="2" t="s">
        <v>1387</v>
      </c>
      <c r="L284" s="2">
        <f t="shared" si="22"/>
        <v>8</v>
      </c>
      <c r="M284" s="2"/>
      <c r="N284" s="2" t="s">
        <v>76</v>
      </c>
      <c r="O284" s="1">
        <v>33</v>
      </c>
      <c r="P284" s="2"/>
      <c r="Q284" s="2"/>
      <c r="R284" s="2"/>
      <c r="S284" s="2" t="s">
        <v>1388</v>
      </c>
      <c r="U284" s="2" t="s">
        <v>740</v>
      </c>
    </row>
    <row r="285" spans="2:21" ht="89.25" x14ac:dyDescent="0.25">
      <c r="B285" s="12"/>
      <c r="C285" s="13" t="str">
        <f t="shared" si="19"/>
        <v>x</v>
      </c>
      <c r="D285" s="14" t="str">
        <f t="shared" si="20"/>
        <v>#Matete Nro 25
Baile de la vaca para cambiar de casa
7 letras
#Juegodepalabras #adivinanzas #crucigramas</v>
      </c>
      <c r="E285" s="17"/>
      <c r="F285" s="17">
        <f t="shared" si="21"/>
        <v>105</v>
      </c>
      <c r="G285" s="6">
        <v>727235</v>
      </c>
      <c r="H285" s="1">
        <v>25</v>
      </c>
      <c r="I285" s="2" t="s">
        <v>91</v>
      </c>
      <c r="J285" s="2" t="s">
        <v>91</v>
      </c>
      <c r="K285" s="2" t="s">
        <v>92</v>
      </c>
      <c r="L285" s="2">
        <f t="shared" si="22"/>
        <v>7</v>
      </c>
      <c r="M285" s="2" t="s">
        <v>39</v>
      </c>
      <c r="N285" s="2" t="s">
        <v>3</v>
      </c>
      <c r="O285" s="1">
        <v>2</v>
      </c>
      <c r="P285" s="2" t="s">
        <v>93</v>
      </c>
      <c r="Q285" s="2"/>
      <c r="R285" s="2"/>
      <c r="S285" s="2" t="s">
        <v>94</v>
      </c>
      <c r="U285" s="2" t="s">
        <v>7</v>
      </c>
    </row>
    <row r="286" spans="2:21" ht="89.25" x14ac:dyDescent="0.25">
      <c r="B286" s="12"/>
      <c r="C286" s="13" t="str">
        <f t="shared" si="19"/>
        <v>x</v>
      </c>
      <c r="D286" s="14" t="str">
        <f t="shared" si="20"/>
        <v>#Matete Nro 394
Entregues un curso de agua de pequeño caudal
10 letras
#Juegodepalabras #adivinanzas #crucigramas</v>
      </c>
      <c r="E286" s="17"/>
      <c r="F286" s="17">
        <f t="shared" si="21"/>
        <v>114</v>
      </c>
      <c r="G286" s="6">
        <v>729921</v>
      </c>
      <c r="H286" s="1">
        <v>394</v>
      </c>
      <c r="I286" s="2" t="s">
        <v>1209</v>
      </c>
      <c r="J286" s="2" t="s">
        <v>1212</v>
      </c>
      <c r="K286" s="2" t="s">
        <v>1210</v>
      </c>
      <c r="L286" s="2">
        <f t="shared" si="22"/>
        <v>10</v>
      </c>
      <c r="M286" s="2"/>
      <c r="N286" s="2" t="s">
        <v>3</v>
      </c>
      <c r="O286" s="1">
        <v>29</v>
      </c>
      <c r="P286" s="2"/>
      <c r="Q286" s="2"/>
      <c r="R286" s="2"/>
      <c r="S286" s="2" t="s">
        <v>1211</v>
      </c>
      <c r="U286" s="2" t="s">
        <v>740</v>
      </c>
    </row>
    <row r="287" spans="2:21" ht="76.5" x14ac:dyDescent="0.25">
      <c r="B287" s="12"/>
      <c r="C287" s="13" t="str">
        <f t="shared" si="19"/>
        <v>x</v>
      </c>
      <c r="D287" s="14" t="str">
        <f t="shared" si="20"/>
        <v>#Matete Nro 232
La primera letra es hermosa
7 letras
#Juegodepalabras #adivinanzas #crucigramas</v>
      </c>
      <c r="E287" s="17"/>
      <c r="F287" s="17">
        <f t="shared" si="21"/>
        <v>96</v>
      </c>
      <c r="G287" s="6">
        <v>733114</v>
      </c>
      <c r="H287" s="1">
        <v>232</v>
      </c>
      <c r="I287" s="2" t="s">
        <v>791</v>
      </c>
      <c r="J287" s="2" t="s">
        <v>791</v>
      </c>
      <c r="K287" s="2" t="s">
        <v>792</v>
      </c>
      <c r="L287" s="2">
        <f t="shared" si="22"/>
        <v>7</v>
      </c>
      <c r="M287" s="2" t="s">
        <v>360</v>
      </c>
      <c r="N287" s="2" t="s">
        <v>3</v>
      </c>
      <c r="O287" s="1">
        <v>19</v>
      </c>
      <c r="P287" s="2" t="s">
        <v>793</v>
      </c>
      <c r="Q287" s="2"/>
      <c r="R287" s="2"/>
      <c r="S287" s="2" t="s">
        <v>794</v>
      </c>
      <c r="U287" s="2" t="s">
        <v>740</v>
      </c>
    </row>
    <row r="288" spans="2:21" ht="89.25" x14ac:dyDescent="0.25">
      <c r="B288" s="12"/>
      <c r="C288" s="13" t="str">
        <f t="shared" si="19"/>
        <v>x</v>
      </c>
      <c r="D288" s="14" t="str">
        <f t="shared" si="20"/>
        <v>#Matete Nro 93
Reina de la belleza del impuesto al valor agregado
6 letras
#Juegodepalabras #adivinanzas #crucigramas</v>
      </c>
      <c r="E288" s="17"/>
      <c r="F288" s="17">
        <f t="shared" si="21"/>
        <v>118</v>
      </c>
      <c r="G288" s="6">
        <v>733266</v>
      </c>
      <c r="H288" s="1">
        <v>93</v>
      </c>
      <c r="I288" s="2" t="s">
        <v>328</v>
      </c>
      <c r="J288" s="2" t="s">
        <v>328</v>
      </c>
      <c r="K288" s="2" t="s">
        <v>329</v>
      </c>
      <c r="L288" s="2">
        <f t="shared" si="22"/>
        <v>6</v>
      </c>
      <c r="M288" s="2"/>
      <c r="N288" s="2" t="s">
        <v>3</v>
      </c>
      <c r="O288" s="1">
        <v>9</v>
      </c>
      <c r="P288" s="2" t="s">
        <v>330</v>
      </c>
      <c r="Q288" s="2"/>
      <c r="R288" s="2"/>
      <c r="S288" s="2" t="s">
        <v>331</v>
      </c>
      <c r="U288" s="2" t="s">
        <v>7</v>
      </c>
    </row>
    <row r="289" spans="2:21" ht="89.25" x14ac:dyDescent="0.25">
      <c r="B289" s="12"/>
      <c r="C289" s="13" t="str">
        <f t="shared" si="19"/>
        <v>x</v>
      </c>
      <c r="D289" s="14" t="str">
        <f t="shared" si="20"/>
        <v>#Matete Nro 290
No tuve oportunidad de ver y era un toro joven
7 letras
#Juegodepalabras #adivinanzas #crucigramas</v>
      </c>
      <c r="E289" s="17"/>
      <c r="F289" s="17">
        <f t="shared" si="21"/>
        <v>115</v>
      </c>
      <c r="G289" s="6">
        <v>738276</v>
      </c>
      <c r="H289" s="1">
        <v>290</v>
      </c>
      <c r="I289" s="2" t="s">
        <v>967</v>
      </c>
      <c r="J289" s="2" t="s">
        <v>967</v>
      </c>
      <c r="K289" s="2" t="s">
        <v>968</v>
      </c>
      <c r="L289" s="2">
        <f t="shared" si="22"/>
        <v>7</v>
      </c>
      <c r="M289" s="2"/>
      <c r="N289" s="2" t="s">
        <v>83</v>
      </c>
      <c r="O289" s="1">
        <v>22</v>
      </c>
      <c r="P289" s="2" t="s">
        <v>969</v>
      </c>
      <c r="Q289" s="2"/>
      <c r="R289" s="2"/>
      <c r="S289" s="2" t="s">
        <v>970</v>
      </c>
      <c r="U289" s="2" t="s">
        <v>740</v>
      </c>
    </row>
    <row r="290" spans="2:21" ht="76.5" x14ac:dyDescent="0.25">
      <c r="B290" s="12"/>
      <c r="C290" s="13" t="str">
        <f t="shared" si="19"/>
        <v>x</v>
      </c>
      <c r="D290" s="14" t="str">
        <f t="shared" si="20"/>
        <v>#Matete Nro 250
Me desplazo Q
6 letras
#Juegodepalabras #adivinanzas #crucigramas</v>
      </c>
      <c r="E290" s="17"/>
      <c r="F290" s="17">
        <f t="shared" si="21"/>
        <v>82</v>
      </c>
      <c r="G290" s="6">
        <v>740219</v>
      </c>
      <c r="H290" s="1">
        <v>250</v>
      </c>
      <c r="I290" s="2" t="s">
        <v>836</v>
      </c>
      <c r="J290" s="2" t="s">
        <v>836</v>
      </c>
      <c r="K290" s="2" t="s">
        <v>837</v>
      </c>
      <c r="L290" s="2">
        <f t="shared" si="22"/>
        <v>6</v>
      </c>
      <c r="M290" s="2"/>
      <c r="N290" s="2" t="s">
        <v>3</v>
      </c>
      <c r="O290" s="1">
        <v>20</v>
      </c>
      <c r="P290" s="2"/>
      <c r="Q290" s="2"/>
      <c r="R290" s="2"/>
      <c r="S290" s="2" t="s">
        <v>838</v>
      </c>
      <c r="U290" s="2" t="s">
        <v>740</v>
      </c>
    </row>
    <row r="291" spans="2:21" ht="89.25" x14ac:dyDescent="0.25">
      <c r="B291" s="12"/>
      <c r="C291" s="13" t="str">
        <f t="shared" si="19"/>
        <v>x</v>
      </c>
      <c r="D291" s="14" t="str">
        <f t="shared" si="20"/>
        <v>#Matete Nro 378
Lleva a un lugar más lejano el fruto de la zarzamora
8 letras
#Juegodepalabras #adivinanzas #crucigramas</v>
      </c>
      <c r="E291" s="17"/>
      <c r="F291" s="17">
        <f t="shared" si="21"/>
        <v>121</v>
      </c>
      <c r="G291" s="6">
        <v>741605</v>
      </c>
      <c r="H291" s="1">
        <v>378</v>
      </c>
      <c r="I291" s="2" t="s">
        <v>1182</v>
      </c>
      <c r="J291" s="2" t="s">
        <v>1185</v>
      </c>
      <c r="K291" s="2" t="s">
        <v>1183</v>
      </c>
      <c r="L291" s="2">
        <f t="shared" si="22"/>
        <v>8</v>
      </c>
      <c r="M291" s="2"/>
      <c r="N291" s="2" t="s">
        <v>76</v>
      </c>
      <c r="O291" s="1">
        <v>29</v>
      </c>
      <c r="P291" s="2"/>
      <c r="Q291" s="2"/>
      <c r="R291" s="2"/>
      <c r="S291" s="2" t="s">
        <v>1184</v>
      </c>
      <c r="U291" s="2" t="s">
        <v>740</v>
      </c>
    </row>
    <row r="292" spans="2:21" ht="89.25" x14ac:dyDescent="0.25">
      <c r="B292" s="12"/>
      <c r="C292" s="13" t="str">
        <f t="shared" si="19"/>
        <v>x</v>
      </c>
      <c r="D292" s="14" t="str">
        <f t="shared" si="20"/>
        <v>#Matete Nro 201
Utilizar el gusto para saborear las afirmaciones
8 letras
#Juegodepalabras #adivinanzas #crucigramas</v>
      </c>
      <c r="E292" s="17"/>
      <c r="F292" s="17">
        <f t="shared" si="21"/>
        <v>117</v>
      </c>
      <c r="G292" s="6">
        <v>747163</v>
      </c>
      <c r="H292" s="1">
        <v>201</v>
      </c>
      <c r="I292" s="2" t="s">
        <v>694</v>
      </c>
      <c r="J292" s="2" t="s">
        <v>694</v>
      </c>
      <c r="K292" s="2" t="s">
        <v>695</v>
      </c>
      <c r="L292" s="2">
        <f t="shared" si="22"/>
        <v>8</v>
      </c>
      <c r="M292" s="2" t="s">
        <v>349</v>
      </c>
      <c r="N292" s="2" t="s">
        <v>3</v>
      </c>
      <c r="O292" s="1">
        <v>17</v>
      </c>
      <c r="P292" s="2"/>
      <c r="Q292" s="2"/>
      <c r="R292" s="2"/>
      <c r="S292" s="2" t="s">
        <v>696</v>
      </c>
      <c r="U292" s="2" t="s">
        <v>7</v>
      </c>
    </row>
    <row r="293" spans="2:21" ht="89.25" x14ac:dyDescent="0.25">
      <c r="B293" s="12"/>
      <c r="C293" s="13" t="str">
        <f t="shared" si="19"/>
        <v>x</v>
      </c>
      <c r="D293" s="14" t="str">
        <f t="shared" si="20"/>
        <v>#Matete Nro 156
Primera nota musical del ternero
4 letras
#Juegodepalabras #adivinanzas #crucigramas</v>
      </c>
      <c r="E293" s="17"/>
      <c r="F293" s="17">
        <f t="shared" si="21"/>
        <v>101</v>
      </c>
      <c r="G293" s="6">
        <v>749115</v>
      </c>
      <c r="H293" s="1">
        <v>156</v>
      </c>
      <c r="I293" s="2" t="s">
        <v>546</v>
      </c>
      <c r="J293" s="2" t="s">
        <v>546</v>
      </c>
      <c r="K293" s="2" t="s">
        <v>547</v>
      </c>
      <c r="L293" s="2">
        <f t="shared" si="22"/>
        <v>4</v>
      </c>
      <c r="M293" s="2" t="s">
        <v>349</v>
      </c>
      <c r="N293" s="2" t="s">
        <v>3</v>
      </c>
      <c r="O293" s="1">
        <v>14</v>
      </c>
      <c r="P293" s="2"/>
      <c r="Q293" s="2"/>
      <c r="R293" s="2"/>
      <c r="S293" s="2" t="s">
        <v>548</v>
      </c>
      <c r="U293" s="2" t="s">
        <v>7</v>
      </c>
    </row>
    <row r="294" spans="2:21" ht="89.25" x14ac:dyDescent="0.25">
      <c r="B294" s="12"/>
      <c r="C294" s="13" t="str">
        <f t="shared" si="19"/>
        <v>x</v>
      </c>
      <c r="D294" s="14" t="str">
        <f t="shared" si="20"/>
        <v>#Matete Nro 706
Sujeta con aros la sesión de algo a cambio de dinero
10 letras
#Juegodepalabras #adivinanzas #crucigramas</v>
      </c>
      <c r="E294" s="17"/>
      <c r="F294" s="17">
        <f t="shared" si="21"/>
        <v>122</v>
      </c>
      <c r="G294" s="6">
        <v>749594</v>
      </c>
      <c r="H294" s="1">
        <v>706</v>
      </c>
      <c r="I294" s="2" t="s">
        <v>1672</v>
      </c>
      <c r="J294" s="2" t="s">
        <v>1672</v>
      </c>
      <c r="K294" s="2" t="s">
        <v>1673</v>
      </c>
      <c r="L294" s="2">
        <f t="shared" si="22"/>
        <v>10</v>
      </c>
      <c r="M294" s="2" t="s">
        <v>349</v>
      </c>
      <c r="N294" s="2" t="s">
        <v>76</v>
      </c>
      <c r="O294" s="1">
        <v>36</v>
      </c>
      <c r="P294" s="2"/>
      <c r="Q294" s="2"/>
      <c r="R294" s="2"/>
      <c r="S294" s="2" t="s">
        <v>1674</v>
      </c>
      <c r="U294" s="2" t="s">
        <v>1423</v>
      </c>
    </row>
    <row r="295" spans="2:21" ht="89.25" x14ac:dyDescent="0.25">
      <c r="B295" s="12"/>
      <c r="C295" s="13" t="str">
        <f t="shared" si="19"/>
        <v>x</v>
      </c>
      <c r="D295" s="14" t="str">
        <f t="shared" si="20"/>
        <v>#Matete Nro 61
Cara que no contiene un ser fantástico con alas
9 letras
#Juegodepalabras #adivinanzas #crucigramas</v>
      </c>
      <c r="E295" s="17"/>
      <c r="F295" s="17">
        <f t="shared" si="21"/>
        <v>115</v>
      </c>
      <c r="G295" s="6">
        <v>755558</v>
      </c>
      <c r="H295" s="1">
        <v>61</v>
      </c>
      <c r="I295" s="2" t="s">
        <v>214</v>
      </c>
      <c r="J295" s="2" t="s">
        <v>217</v>
      </c>
      <c r="K295" s="2" t="s">
        <v>215</v>
      </c>
      <c r="L295" s="2">
        <f t="shared" si="22"/>
        <v>9</v>
      </c>
      <c r="M295" s="2" t="s">
        <v>39</v>
      </c>
      <c r="N295" s="2" t="s">
        <v>83</v>
      </c>
      <c r="O295" s="1">
        <v>6</v>
      </c>
      <c r="P295" s="2"/>
      <c r="Q295" s="2"/>
      <c r="R295" s="2"/>
      <c r="S295" s="2" t="s">
        <v>216</v>
      </c>
      <c r="U295" s="2" t="s">
        <v>7</v>
      </c>
    </row>
    <row r="296" spans="2:21" ht="76.5" x14ac:dyDescent="0.25">
      <c r="B296" s="12"/>
      <c r="C296" s="13" t="str">
        <f t="shared" si="19"/>
        <v>x</v>
      </c>
      <c r="D296" s="14" t="str">
        <f t="shared" si="20"/>
        <v>#Matete Nro 323
Le quita la cáscara a la G
6 letras
#Juegodepalabras #adivinanzas #crucigramas</v>
      </c>
      <c r="E296" s="17"/>
      <c r="F296" s="17">
        <f t="shared" si="21"/>
        <v>95</v>
      </c>
      <c r="G296" s="6">
        <v>760479</v>
      </c>
      <c r="H296" s="1">
        <v>323</v>
      </c>
      <c r="I296" s="2" t="s">
        <v>1070</v>
      </c>
      <c r="J296" s="2" t="s">
        <v>1070</v>
      </c>
      <c r="K296" s="2" t="s">
        <v>1071</v>
      </c>
      <c r="L296" s="2">
        <f t="shared" si="22"/>
        <v>6</v>
      </c>
      <c r="M296" s="2"/>
      <c r="N296" s="2" t="s">
        <v>3</v>
      </c>
      <c r="O296" s="1">
        <v>26</v>
      </c>
      <c r="P296" s="2"/>
      <c r="Q296" s="2"/>
      <c r="R296" s="2"/>
      <c r="S296" s="2" t="s">
        <v>1072</v>
      </c>
      <c r="U296" s="2" t="s">
        <v>740</v>
      </c>
    </row>
    <row r="297" spans="2:21" ht="89.25" x14ac:dyDescent="0.25">
      <c r="B297" s="12"/>
      <c r="C297" s="13" t="str">
        <f t="shared" si="19"/>
        <v>x</v>
      </c>
      <c r="D297" s="14" t="str">
        <f t="shared" si="20"/>
        <v>#Matete Nro 158
Acción anterior al descanso sobre los glúteos
9 letras
#Juegodepalabras #adivinanzas #crucigramas</v>
      </c>
      <c r="E297" s="17"/>
      <c r="F297" s="17">
        <f t="shared" si="21"/>
        <v>114</v>
      </c>
      <c r="G297" s="6">
        <v>762654</v>
      </c>
      <c r="H297" s="1">
        <v>158</v>
      </c>
      <c r="I297" s="2" t="s">
        <v>552</v>
      </c>
      <c r="J297" s="2" t="s">
        <v>552</v>
      </c>
      <c r="K297" s="2" t="s">
        <v>553</v>
      </c>
      <c r="L297" s="2">
        <f t="shared" si="22"/>
        <v>9</v>
      </c>
      <c r="M297" s="2"/>
      <c r="N297" s="2" t="s">
        <v>3</v>
      </c>
      <c r="O297" s="1">
        <v>14</v>
      </c>
      <c r="P297" s="2"/>
      <c r="Q297" s="2"/>
      <c r="R297" s="2"/>
      <c r="S297" s="2" t="s">
        <v>554</v>
      </c>
      <c r="U297" s="2" t="s">
        <v>7</v>
      </c>
    </row>
    <row r="298" spans="2:21" ht="102" x14ac:dyDescent="0.25">
      <c r="B298" s="12"/>
      <c r="C298" s="13" t="str">
        <f t="shared" si="19"/>
        <v>x</v>
      </c>
      <c r="D298" s="14" t="str">
        <f t="shared" si="20"/>
        <v>#Matete Nro 315
Distingue la calidad de la identificación gráfica de una marca
8 letras
#Juegodepalabras #adivinanzas #crucigramas</v>
      </c>
      <c r="E298" s="17"/>
      <c r="F298" s="17">
        <f t="shared" si="21"/>
        <v>131</v>
      </c>
      <c r="G298" s="6">
        <v>764941</v>
      </c>
      <c r="H298" s="1">
        <v>315</v>
      </c>
      <c r="I298" s="2" t="s">
        <v>1041</v>
      </c>
      <c r="J298" s="2" t="s">
        <v>1041</v>
      </c>
      <c r="K298" s="2" t="s">
        <v>1042</v>
      </c>
      <c r="L298" s="2">
        <f t="shared" si="22"/>
        <v>8</v>
      </c>
      <c r="M298" s="2" t="s">
        <v>349</v>
      </c>
      <c r="N298" s="2" t="s">
        <v>3</v>
      </c>
      <c r="O298" s="1">
        <v>25</v>
      </c>
      <c r="P298" s="2"/>
      <c r="Q298" s="2"/>
      <c r="R298" s="2"/>
      <c r="S298" s="2" t="s">
        <v>1043</v>
      </c>
      <c r="U298" s="2" t="s">
        <v>740</v>
      </c>
    </row>
    <row r="299" spans="2:21" ht="89.25" x14ac:dyDescent="0.25">
      <c r="B299" s="12"/>
      <c r="C299" s="13" t="str">
        <f t="shared" si="19"/>
        <v>x</v>
      </c>
      <c r="D299" s="14" t="str">
        <f t="shared" si="20"/>
        <v>#Matete Nro 141
Forma de indicar que está debajo del que se fue
6 letras
#Juegodepalabras #adivinanzas #crucigramas</v>
      </c>
      <c r="E299" s="17"/>
      <c r="F299" s="17">
        <f t="shared" si="21"/>
        <v>116</v>
      </c>
      <c r="G299" s="6">
        <v>766522</v>
      </c>
      <c r="H299" s="1">
        <v>141</v>
      </c>
      <c r="I299" s="2" t="s">
        <v>496</v>
      </c>
      <c r="J299" s="2" t="s">
        <v>500</v>
      </c>
      <c r="K299" s="2" t="s">
        <v>497</v>
      </c>
      <c r="L299" s="2">
        <f t="shared" si="22"/>
        <v>6</v>
      </c>
      <c r="M299" s="2"/>
      <c r="N299" s="2" t="s">
        <v>3</v>
      </c>
      <c r="O299" s="1">
        <v>14</v>
      </c>
      <c r="P299" s="2" t="s">
        <v>498</v>
      </c>
      <c r="Q299" s="2"/>
      <c r="R299" s="2"/>
      <c r="S299" s="2" t="s">
        <v>499</v>
      </c>
      <c r="U299" s="2" t="s">
        <v>7</v>
      </c>
    </row>
    <row r="300" spans="2:21" ht="102" x14ac:dyDescent="0.25">
      <c r="B300" s="12"/>
      <c r="C300" s="13" t="str">
        <f t="shared" si="19"/>
        <v>x</v>
      </c>
      <c r="D300" s="14" t="str">
        <f t="shared" si="20"/>
        <v>#Matete Nro 189
Estado de la mente que se alcanza luego de la última comida del día
10 letras
#Juegodepalabras #adivinanzas #crucigramas</v>
      </c>
      <c r="E300" s="17"/>
      <c r="F300" s="17">
        <f t="shared" si="21"/>
        <v>137</v>
      </c>
      <c r="G300" s="6">
        <v>768557</v>
      </c>
      <c r="H300" s="1">
        <v>189</v>
      </c>
      <c r="I300" s="2" t="s">
        <v>653</v>
      </c>
      <c r="J300" s="2" t="s">
        <v>656</v>
      </c>
      <c r="K300" s="2" t="s">
        <v>654</v>
      </c>
      <c r="L300" s="2">
        <f t="shared" si="22"/>
        <v>10</v>
      </c>
      <c r="M300" s="2" t="s">
        <v>349</v>
      </c>
      <c r="N300" s="2" t="s">
        <v>3</v>
      </c>
      <c r="O300" s="1">
        <v>16</v>
      </c>
      <c r="P300" s="2"/>
      <c r="Q300" s="2"/>
      <c r="R300" s="2"/>
      <c r="S300" s="2" t="s">
        <v>655</v>
      </c>
      <c r="U300" s="2" t="s">
        <v>7</v>
      </c>
    </row>
    <row r="301" spans="2:21" ht="89.25" x14ac:dyDescent="0.25">
      <c r="B301" s="12"/>
      <c r="C301" s="13" t="str">
        <f t="shared" si="19"/>
        <v>x</v>
      </c>
      <c r="D301" s="14" t="str">
        <f t="shared" si="20"/>
        <v>#Matete Nro 440
Realices una planta que espanta a los vampiros
7 letras
#Juegodepalabras #adivinanzas #crucigramas</v>
      </c>
      <c r="E301" s="17"/>
      <c r="F301" s="17">
        <f t="shared" si="21"/>
        <v>115</v>
      </c>
      <c r="G301" s="6">
        <v>770286</v>
      </c>
      <c r="H301" s="1">
        <v>440</v>
      </c>
      <c r="I301" s="2" t="s">
        <v>1282</v>
      </c>
      <c r="J301" s="2" t="s">
        <v>1282</v>
      </c>
      <c r="K301" s="2" t="s">
        <v>1283</v>
      </c>
      <c r="L301" s="2">
        <f t="shared" si="22"/>
        <v>7</v>
      </c>
      <c r="M301" s="2" t="s">
        <v>68</v>
      </c>
      <c r="N301" s="2" t="s">
        <v>3</v>
      </c>
      <c r="O301" s="1">
        <v>30</v>
      </c>
      <c r="P301" s="2"/>
      <c r="Q301" s="2"/>
      <c r="R301" s="2"/>
      <c r="S301" s="7" t="s">
        <v>1284</v>
      </c>
      <c r="U301" s="2" t="s">
        <v>740</v>
      </c>
    </row>
    <row r="302" spans="2:21" ht="76.5" x14ac:dyDescent="0.25">
      <c r="B302" s="12"/>
      <c r="C302" s="13" t="str">
        <f t="shared" si="19"/>
        <v>x</v>
      </c>
      <c r="D302" s="14" t="str">
        <f t="shared" si="20"/>
        <v>#Matete Nro 684
Pájaros de la verdad inglesa
8 letras
#Juegodepalabras #adivinanzas #crucigramas</v>
      </c>
      <c r="E302" s="17"/>
      <c r="F302" s="17">
        <f t="shared" si="21"/>
        <v>97</v>
      </c>
      <c r="G302" s="6">
        <v>770317</v>
      </c>
      <c r="H302" s="1">
        <v>684</v>
      </c>
      <c r="I302" s="2" t="s">
        <v>1636</v>
      </c>
      <c r="J302" s="2" t="s">
        <v>1636</v>
      </c>
      <c r="K302" s="2" t="s">
        <v>1637</v>
      </c>
      <c r="L302" s="2">
        <f t="shared" si="22"/>
        <v>8</v>
      </c>
      <c r="M302" s="2"/>
      <c r="N302" s="2" t="s">
        <v>195</v>
      </c>
      <c r="O302" s="1">
        <v>35</v>
      </c>
      <c r="P302" s="2"/>
      <c r="Q302" s="2"/>
      <c r="R302" s="2"/>
      <c r="S302" s="2" t="s">
        <v>1638</v>
      </c>
      <c r="U302" s="2" t="s">
        <v>1423</v>
      </c>
    </row>
    <row r="303" spans="2:21" ht="102" x14ac:dyDescent="0.25">
      <c r="B303" s="12"/>
      <c r="C303" s="13" t="str">
        <f t="shared" si="19"/>
        <v>x</v>
      </c>
      <c r="D303" s="14" t="str">
        <f t="shared" si="20"/>
        <v>#Matete Nro 229
Conjunción de una gran extensión de agua salada y un engaño
8 letras
#Juegodepalabras #adivinanzas #crucigramas</v>
      </c>
      <c r="E303" s="17"/>
      <c r="F303" s="17">
        <f t="shared" si="21"/>
        <v>128</v>
      </c>
      <c r="G303" s="6">
        <v>776939</v>
      </c>
      <c r="H303" s="1">
        <v>229</v>
      </c>
      <c r="I303" s="2" t="s">
        <v>780</v>
      </c>
      <c r="J303" s="2" t="s">
        <v>783</v>
      </c>
      <c r="K303" s="2" t="s">
        <v>781</v>
      </c>
      <c r="L303" s="2">
        <f t="shared" si="22"/>
        <v>8</v>
      </c>
      <c r="M303" s="2" t="s">
        <v>349</v>
      </c>
      <c r="N303" s="2" t="s">
        <v>83</v>
      </c>
      <c r="O303" s="1">
        <v>18</v>
      </c>
      <c r="P303" s="2"/>
      <c r="Q303" s="2"/>
      <c r="R303" s="2"/>
      <c r="S303" s="2" t="s">
        <v>782</v>
      </c>
      <c r="U303" s="2" t="s">
        <v>740</v>
      </c>
    </row>
    <row r="304" spans="2:21" ht="76.5" x14ac:dyDescent="0.25">
      <c r="B304" s="12"/>
      <c r="C304" s="13" t="str">
        <f t="shared" si="19"/>
        <v>x</v>
      </c>
      <c r="D304" s="14" t="str">
        <f t="shared" si="20"/>
        <v>#Matete Nro 486
Sujeto la cama con nudos
8 letras
#Juegodepalabras #adivinanzas #crucigramas</v>
      </c>
      <c r="E304" s="17"/>
      <c r="F304" s="17">
        <f t="shared" si="21"/>
        <v>93</v>
      </c>
      <c r="G304" s="6">
        <v>778988</v>
      </c>
      <c r="H304" s="1">
        <v>486</v>
      </c>
      <c r="I304" s="2" t="s">
        <v>1361</v>
      </c>
      <c r="J304" s="2" t="s">
        <v>1361</v>
      </c>
      <c r="K304" s="2" t="s">
        <v>1362</v>
      </c>
      <c r="L304" s="2">
        <f t="shared" si="22"/>
        <v>8</v>
      </c>
      <c r="M304" s="2"/>
      <c r="N304" s="2" t="s">
        <v>76</v>
      </c>
      <c r="O304" s="1">
        <v>32</v>
      </c>
      <c r="P304" s="2"/>
      <c r="Q304" s="2"/>
      <c r="R304" s="2"/>
      <c r="S304" s="2" t="s">
        <v>1363</v>
      </c>
      <c r="U304" s="2" t="s">
        <v>740</v>
      </c>
    </row>
    <row r="305" spans="2:21" ht="89.25" x14ac:dyDescent="0.25">
      <c r="B305" s="12"/>
      <c r="C305" s="13" t="str">
        <f t="shared" si="19"/>
        <v>x</v>
      </c>
      <c r="D305" s="14" t="str">
        <f t="shared" si="20"/>
        <v>#Matete Nro 251
Letra Q que se quedó sin paciencia
6 letras
#Juegodepalabras #adivinanzas #crucigramas</v>
      </c>
      <c r="E305" s="17"/>
      <c r="F305" s="17">
        <f t="shared" si="21"/>
        <v>103</v>
      </c>
      <c r="G305" s="6">
        <v>780068</v>
      </c>
      <c r="H305" s="1">
        <v>251</v>
      </c>
      <c r="I305" s="2" t="s">
        <v>839</v>
      </c>
      <c r="J305" s="2" t="s">
        <v>842</v>
      </c>
      <c r="K305" s="2" t="s">
        <v>840</v>
      </c>
      <c r="L305" s="2">
        <f t="shared" si="22"/>
        <v>6</v>
      </c>
      <c r="M305" s="2"/>
      <c r="N305" s="2" t="s">
        <v>3</v>
      </c>
      <c r="O305" s="1">
        <v>20</v>
      </c>
      <c r="P305" s="2"/>
      <c r="Q305" s="2"/>
      <c r="R305" s="2"/>
      <c r="S305" s="2" t="s">
        <v>841</v>
      </c>
      <c r="U305" s="2" t="s">
        <v>740</v>
      </c>
    </row>
    <row r="306" spans="2:21" ht="89.25" x14ac:dyDescent="0.25">
      <c r="B306" s="12"/>
      <c r="C306" s="13" t="str">
        <f t="shared" si="19"/>
        <v>x</v>
      </c>
      <c r="D306" s="14" t="str">
        <f t="shared" si="20"/>
        <v>#Matete Nro 403
Utiliza pies y manos para escalar el éter
9 letras
#Juegodepalabras #adivinanzas #crucigramas</v>
      </c>
      <c r="E306" s="17"/>
      <c r="F306" s="17">
        <f t="shared" si="21"/>
        <v>110</v>
      </c>
      <c r="G306" s="6">
        <v>780302</v>
      </c>
      <c r="H306" s="1">
        <v>403</v>
      </c>
      <c r="I306" s="2" t="s">
        <v>1225</v>
      </c>
      <c r="J306" s="2" t="s">
        <v>1228</v>
      </c>
      <c r="K306" s="2" t="s">
        <v>1226</v>
      </c>
      <c r="L306" s="2">
        <f t="shared" si="22"/>
        <v>9</v>
      </c>
      <c r="M306" s="2" t="s">
        <v>68</v>
      </c>
      <c r="N306" s="2" t="s">
        <v>3</v>
      </c>
      <c r="O306" s="1">
        <v>29</v>
      </c>
      <c r="P306" s="2"/>
      <c r="Q306" s="2"/>
      <c r="R306" s="2"/>
      <c r="S306" s="2" t="s">
        <v>1227</v>
      </c>
      <c r="U306" s="2" t="s">
        <v>740</v>
      </c>
    </row>
    <row r="307" spans="2:21" ht="89.25" x14ac:dyDescent="0.25">
      <c r="B307" s="12"/>
      <c r="C307" s="13" t="str">
        <f t="shared" si="19"/>
        <v>x</v>
      </c>
      <c r="D307" s="14" t="str">
        <f t="shared" si="20"/>
        <v>#Matete Nro 480
Agua caliente con hierbas que arrastra el trineo de Papá Noel
7 letras
#Juegodepalabras #adivinanzas #crucigramas</v>
      </c>
      <c r="E307" s="17"/>
      <c r="F307" s="17">
        <f t="shared" si="21"/>
        <v>130</v>
      </c>
      <c r="G307" s="6">
        <v>783546</v>
      </c>
      <c r="H307" s="1">
        <v>480</v>
      </c>
      <c r="I307" s="2" t="s">
        <v>1352</v>
      </c>
      <c r="J307" s="2" t="s">
        <v>1352</v>
      </c>
      <c r="K307" s="2" t="s">
        <v>1353</v>
      </c>
      <c r="L307" s="2">
        <f t="shared" si="22"/>
        <v>7</v>
      </c>
      <c r="M307" s="2"/>
      <c r="N307" s="2" t="s">
        <v>3</v>
      </c>
      <c r="O307" s="1">
        <v>32</v>
      </c>
      <c r="P307" s="2"/>
      <c r="Q307" s="2"/>
      <c r="R307" s="2"/>
      <c r="S307" s="2" t="s">
        <v>1354</v>
      </c>
      <c r="U307" s="2" t="s">
        <v>740</v>
      </c>
    </row>
    <row r="308" spans="2:21" ht="89.25" x14ac:dyDescent="0.25">
      <c r="B308" s="12"/>
      <c r="C308" s="13" t="str">
        <f t="shared" si="19"/>
        <v>x</v>
      </c>
      <c r="D308" s="14" t="str">
        <f t="shared" si="20"/>
        <v>#Matete Nro 151
Ente real con afición a lo perjudicial
8 letras
#Juegodepalabras #adivinanzas #crucigramas</v>
      </c>
      <c r="E308" s="17"/>
      <c r="F308" s="17">
        <f t="shared" si="21"/>
        <v>107</v>
      </c>
      <c r="G308" s="6">
        <v>783718</v>
      </c>
      <c r="H308" s="1">
        <v>151</v>
      </c>
      <c r="I308" s="2" t="s">
        <v>532</v>
      </c>
      <c r="J308" s="2" t="s">
        <v>532</v>
      </c>
      <c r="K308" s="2" t="s">
        <v>533</v>
      </c>
      <c r="L308" s="2">
        <f t="shared" si="22"/>
        <v>8</v>
      </c>
      <c r="M308" s="2" t="s">
        <v>349</v>
      </c>
      <c r="N308" s="2" t="s">
        <v>3</v>
      </c>
      <c r="O308" s="1">
        <v>14</v>
      </c>
      <c r="P308" s="2"/>
      <c r="Q308" s="2"/>
      <c r="R308" s="2"/>
      <c r="S308" s="2" t="s">
        <v>534</v>
      </c>
      <c r="U308" s="2" t="s">
        <v>7</v>
      </c>
    </row>
    <row r="309" spans="2:21" ht="76.5" x14ac:dyDescent="0.25">
      <c r="B309" s="12"/>
      <c r="C309" s="13" t="str">
        <f t="shared" si="19"/>
        <v>x</v>
      </c>
      <c r="D309" s="14" t="str">
        <f t="shared" si="20"/>
        <v>#Matete Nro 362
Conjunto de tres afirmaciones
8 letras
#Juegodepalabras #adivinanzas #crucigramas</v>
      </c>
      <c r="E309" s="17"/>
      <c r="F309" s="17">
        <f t="shared" si="21"/>
        <v>98</v>
      </c>
      <c r="G309" s="6">
        <v>784030</v>
      </c>
      <c r="H309" s="1">
        <v>362</v>
      </c>
      <c r="I309" s="2" t="s">
        <v>1155</v>
      </c>
      <c r="J309" s="2" t="s">
        <v>1155</v>
      </c>
      <c r="K309" s="2" t="s">
        <v>1156</v>
      </c>
      <c r="L309" s="2">
        <f t="shared" si="22"/>
        <v>8</v>
      </c>
      <c r="M309" s="2"/>
      <c r="N309" s="2" t="s">
        <v>3</v>
      </c>
      <c r="O309" s="1">
        <v>29</v>
      </c>
      <c r="P309" s="2"/>
      <c r="Q309" s="2"/>
      <c r="R309" s="2"/>
      <c r="S309" s="2" t="s">
        <v>1157</v>
      </c>
      <c r="U309" s="2" t="s">
        <v>740</v>
      </c>
    </row>
    <row r="310" spans="2:21" ht="89.25" x14ac:dyDescent="0.25">
      <c r="B310" s="12"/>
      <c r="C310" s="13" t="str">
        <f t="shared" si="19"/>
        <v>x</v>
      </c>
      <c r="D310" s="14" t="str">
        <f t="shared" si="20"/>
        <v>#Matete Nro 550
Plato de caldo con pasta que tiene sal y hace olas
7 letras
#Juegodepalabras #adivinanzas #crucigramas</v>
      </c>
      <c r="E310" s="17"/>
      <c r="F310" s="17">
        <f t="shared" si="21"/>
        <v>119</v>
      </c>
      <c r="G310" s="6">
        <v>795291</v>
      </c>
      <c r="H310" s="1">
        <v>550</v>
      </c>
      <c r="I310" s="2" t="s">
        <v>1453</v>
      </c>
      <c r="J310" s="2" t="s">
        <v>1457</v>
      </c>
      <c r="K310" s="2" t="s">
        <v>1454</v>
      </c>
      <c r="L310" s="2">
        <f t="shared" si="22"/>
        <v>7</v>
      </c>
      <c r="M310" s="2" t="s">
        <v>1455</v>
      </c>
      <c r="N310" s="2" t="s">
        <v>3</v>
      </c>
      <c r="O310" s="1">
        <v>34</v>
      </c>
      <c r="P310" s="2"/>
      <c r="Q310" s="2"/>
      <c r="R310" s="2"/>
      <c r="S310" s="2" t="s">
        <v>1456</v>
      </c>
      <c r="U310" s="2" t="s">
        <v>1423</v>
      </c>
    </row>
    <row r="311" spans="2:21" ht="102" x14ac:dyDescent="0.25">
      <c r="B311" s="12"/>
      <c r="C311" s="13" t="str">
        <f t="shared" ref="C311:C374" si="23">IF(B311&lt;&gt;"",WEEKDAY(B311),"x")</f>
        <v>x</v>
      </c>
      <c r="D311" s="14" t="str">
        <f t="shared" si="20"/>
        <v>#Matete Nro 154
Utilizo una palanca para avanzar en una tela proveniente de la india
8 letras
#Juegodepalabras #adivinanzas #crucigramas</v>
      </c>
      <c r="E311" s="17"/>
      <c r="F311" s="17">
        <f t="shared" si="21"/>
        <v>137</v>
      </c>
      <c r="G311" s="6">
        <v>795693</v>
      </c>
      <c r="H311" s="1">
        <v>154</v>
      </c>
      <c r="I311" s="2" t="s">
        <v>538</v>
      </c>
      <c r="J311" s="2" t="s">
        <v>538</v>
      </c>
      <c r="K311" s="2" t="s">
        <v>539</v>
      </c>
      <c r="L311" s="2">
        <f t="shared" si="22"/>
        <v>8</v>
      </c>
      <c r="M311" s="2"/>
      <c r="N311" s="2" t="s">
        <v>3</v>
      </c>
      <c r="O311" s="1">
        <v>14</v>
      </c>
      <c r="P311" s="2"/>
      <c r="Q311" s="2"/>
      <c r="R311" s="2"/>
      <c r="S311" s="2" t="s">
        <v>540</v>
      </c>
      <c r="U311" s="2" t="s">
        <v>7</v>
      </c>
    </row>
    <row r="312" spans="2:21" ht="89.25" x14ac:dyDescent="0.25">
      <c r="B312" s="12"/>
      <c r="C312" s="13" t="str">
        <f t="shared" si="23"/>
        <v>x</v>
      </c>
      <c r="D312" s="14" t="str">
        <f t="shared" si="20"/>
        <v>#Matete Nro 696
Doble pregunta a la masa de agua y harina cocida al horno
9 letras
#Juegodepalabras #adivinanzas #crucigramas</v>
      </c>
      <c r="E312" s="17"/>
      <c r="F312" s="17">
        <f t="shared" si="21"/>
        <v>126</v>
      </c>
      <c r="G312" s="6">
        <v>799879</v>
      </c>
      <c r="H312" s="1">
        <v>696</v>
      </c>
      <c r="I312" s="2" t="s">
        <v>1657</v>
      </c>
      <c r="J312" s="2" t="s">
        <v>1657</v>
      </c>
      <c r="K312" s="2" t="s">
        <v>1658</v>
      </c>
      <c r="L312" s="2">
        <f t="shared" si="22"/>
        <v>9</v>
      </c>
      <c r="M312" s="2" t="s">
        <v>68</v>
      </c>
      <c r="N312" s="2" t="s">
        <v>83</v>
      </c>
      <c r="O312" s="1">
        <v>36</v>
      </c>
      <c r="P312" s="2"/>
      <c r="Q312" s="2"/>
      <c r="R312" s="2"/>
      <c r="S312" s="2" t="s">
        <v>1659</v>
      </c>
      <c r="U312" s="2" t="s">
        <v>1423</v>
      </c>
    </row>
    <row r="313" spans="2:21" ht="89.25" x14ac:dyDescent="0.25">
      <c r="B313" s="12"/>
      <c r="C313" s="13" t="str">
        <f t="shared" si="23"/>
        <v>x</v>
      </c>
      <c r="D313" s="14" t="str">
        <f t="shared" si="20"/>
        <v>#Matete Nro 66
Letra de color femenino tirada por caballos
7 letras
#Juegodepalabras #adivinanzas #crucigramas</v>
      </c>
      <c r="E313" s="17"/>
      <c r="F313" s="17">
        <f t="shared" si="21"/>
        <v>111</v>
      </c>
      <c r="G313" s="6">
        <v>802116</v>
      </c>
      <c r="H313" s="1">
        <v>66</v>
      </c>
      <c r="I313" s="2" t="s">
        <v>233</v>
      </c>
      <c r="J313" s="2" t="s">
        <v>233</v>
      </c>
      <c r="K313" s="2" t="s">
        <v>234</v>
      </c>
      <c r="L313" s="2">
        <f t="shared" si="22"/>
        <v>7</v>
      </c>
      <c r="M313" s="2" t="s">
        <v>39</v>
      </c>
      <c r="N313" s="2" t="s">
        <v>3</v>
      </c>
      <c r="O313" s="1">
        <v>7</v>
      </c>
      <c r="P313" s="2"/>
      <c r="Q313" s="2"/>
      <c r="R313" s="2"/>
      <c r="S313" s="2" t="s">
        <v>235</v>
      </c>
      <c r="U313" s="2" t="s">
        <v>7</v>
      </c>
    </row>
    <row r="314" spans="2:21" ht="76.5" x14ac:dyDescent="0.25">
      <c r="B314" s="12"/>
      <c r="C314" s="13" t="str">
        <f t="shared" si="23"/>
        <v>x</v>
      </c>
      <c r="D314" s="14" t="str">
        <f t="shared" si="20"/>
        <v>#Matete Nro 76
Dícese del rostro sin sentido
8 letras
#Juegodepalabras #adivinanzas #crucigramas</v>
      </c>
      <c r="E314" s="17"/>
      <c r="F314" s="17">
        <f t="shared" si="21"/>
        <v>97</v>
      </c>
      <c r="G314" s="6">
        <v>802541</v>
      </c>
      <c r="H314" s="1">
        <v>76</v>
      </c>
      <c r="I314" s="2" t="s">
        <v>268</v>
      </c>
      <c r="J314" s="2" t="s">
        <v>268</v>
      </c>
      <c r="K314" s="2" t="s">
        <v>269</v>
      </c>
      <c r="L314" s="2">
        <f t="shared" si="22"/>
        <v>8</v>
      </c>
      <c r="M314" s="2" t="s">
        <v>39</v>
      </c>
      <c r="N314" s="2" t="s">
        <v>3</v>
      </c>
      <c r="O314" s="1">
        <v>8</v>
      </c>
      <c r="P314" s="2"/>
      <c r="Q314" s="2"/>
      <c r="R314" s="2"/>
      <c r="S314" s="2" t="s">
        <v>270</v>
      </c>
      <c r="U314" s="2" t="s">
        <v>7</v>
      </c>
    </row>
    <row r="315" spans="2:21" ht="102" x14ac:dyDescent="0.25">
      <c r="B315" s="12"/>
      <c r="C315" s="13" t="str">
        <f t="shared" si="23"/>
        <v>x</v>
      </c>
      <c r="D315" s="14" t="str">
        <f t="shared" si="20"/>
        <v>#Matete Nro 532
Dice en voz alta yacimiento de minerales para que otro lo escriba
9 letras
#Juegodepalabras #adivinanzas #crucigramas</v>
      </c>
      <c r="E315" s="17"/>
      <c r="F315" s="17">
        <f t="shared" si="21"/>
        <v>134</v>
      </c>
      <c r="G315" s="6">
        <v>804337</v>
      </c>
      <c r="H315" s="1">
        <v>532</v>
      </c>
      <c r="I315" s="2" t="s">
        <v>1424</v>
      </c>
      <c r="J315" s="2" t="s">
        <v>1427</v>
      </c>
      <c r="K315" s="2" t="s">
        <v>1425</v>
      </c>
      <c r="L315" s="2">
        <f t="shared" si="22"/>
        <v>9</v>
      </c>
      <c r="M315" s="2"/>
      <c r="N315" s="2" t="s">
        <v>3</v>
      </c>
      <c r="O315" s="1">
        <v>33</v>
      </c>
      <c r="P315" s="2"/>
      <c r="Q315" s="2"/>
      <c r="R315" s="2"/>
      <c r="S315" s="2" t="s">
        <v>1426</v>
      </c>
      <c r="U315" s="2" t="s">
        <v>1423</v>
      </c>
    </row>
    <row r="316" spans="2:21" ht="76.5" x14ac:dyDescent="0.25">
      <c r="B316" s="12"/>
      <c r="C316" s="13" t="str">
        <f t="shared" si="23"/>
        <v>x</v>
      </c>
      <c r="D316" s="14" t="str">
        <f t="shared" si="20"/>
        <v>#Matete Nro 42
Dúo quejoso
10 letras
#Juegodepalabras #adivinanzas #crucigramas</v>
      </c>
      <c r="E316" s="17"/>
      <c r="F316" s="17">
        <f t="shared" si="21"/>
        <v>80</v>
      </c>
      <c r="G316" s="6">
        <v>807391</v>
      </c>
      <c r="H316" s="1">
        <v>42</v>
      </c>
      <c r="I316" s="2" t="s">
        <v>153</v>
      </c>
      <c r="J316" s="2" t="s">
        <v>153</v>
      </c>
      <c r="K316" s="2" t="s">
        <v>154</v>
      </c>
      <c r="L316" s="2">
        <f t="shared" si="22"/>
        <v>10</v>
      </c>
      <c r="M316" s="2" t="s">
        <v>39</v>
      </c>
      <c r="N316" s="2" t="s">
        <v>3</v>
      </c>
      <c r="O316" s="1">
        <v>4</v>
      </c>
      <c r="P316" s="2"/>
      <c r="Q316" s="2"/>
      <c r="R316" s="2"/>
      <c r="S316" s="2" t="s">
        <v>155</v>
      </c>
      <c r="U316" s="2" t="s">
        <v>7</v>
      </c>
    </row>
    <row r="317" spans="2:21" ht="89.25" x14ac:dyDescent="0.25">
      <c r="B317" s="12"/>
      <c r="C317" s="13" t="str">
        <f t="shared" si="23"/>
        <v>x</v>
      </c>
      <c r="D317" s="14" t="str">
        <f t="shared" ref="D317:D380" si="24">"#Matete Nro "&amp;H317&amp;CHAR(10)&amp;K317&amp;CHAR(10)&amp;L317&amp;" letras"&amp;CHAR(10)&amp;CHAR(10)&amp;"#Juegodepalabras #adivinanzas #crucigramas"</f>
        <v>#Matete Nro 96
Haga una rúbrica personal en la inteligencia
10 letras
#Juegodepalabras #adivinanzas #crucigramas</v>
      </c>
      <c r="E317" s="17"/>
      <c r="F317" s="17">
        <f t="shared" ref="F317:F380" si="25">LEN(D317)</f>
        <v>113</v>
      </c>
      <c r="G317" s="6">
        <v>807974</v>
      </c>
      <c r="H317" s="1">
        <v>96</v>
      </c>
      <c r="I317" s="2" t="s">
        <v>340</v>
      </c>
      <c r="J317" s="2" t="s">
        <v>340</v>
      </c>
      <c r="K317" s="2" t="s">
        <v>341</v>
      </c>
      <c r="L317" s="2">
        <f t="shared" si="22"/>
        <v>10</v>
      </c>
      <c r="M317" s="2"/>
      <c r="N317" s="2" t="s">
        <v>3</v>
      </c>
      <c r="O317" s="1">
        <v>10</v>
      </c>
      <c r="P317" s="2"/>
      <c r="Q317" s="2"/>
      <c r="R317" s="2"/>
      <c r="S317" s="2" t="s">
        <v>342</v>
      </c>
      <c r="U317" s="2" t="s">
        <v>7</v>
      </c>
    </row>
    <row r="318" spans="2:21" ht="89.25" x14ac:dyDescent="0.25">
      <c r="B318" s="12"/>
      <c r="C318" s="13" t="str">
        <f t="shared" si="23"/>
        <v>x</v>
      </c>
      <c r="D318" s="14" t="str">
        <f t="shared" si="24"/>
        <v>#Matete Nro 536
Yo ingreso, el pollo emite un sonido
8 letras
#Juegodepalabras #adivinanzas #crucigramas</v>
      </c>
      <c r="E318" s="17"/>
      <c r="F318" s="17">
        <f t="shared" si="25"/>
        <v>105</v>
      </c>
      <c r="G318" s="6">
        <v>808477</v>
      </c>
      <c r="H318" s="1">
        <v>536</v>
      </c>
      <c r="I318" s="2" t="s">
        <v>1428</v>
      </c>
      <c r="J318" s="2" t="s">
        <v>1431</v>
      </c>
      <c r="K318" s="2" t="s">
        <v>1429</v>
      </c>
      <c r="L318" s="2">
        <f t="shared" si="22"/>
        <v>8</v>
      </c>
      <c r="M318" s="2"/>
      <c r="N318" s="2" t="s">
        <v>3</v>
      </c>
      <c r="O318" s="1">
        <v>33</v>
      </c>
      <c r="P318" s="2"/>
      <c r="Q318" s="2"/>
      <c r="R318" s="2"/>
      <c r="S318" s="2" t="s">
        <v>1430</v>
      </c>
      <c r="U318" s="2" t="s">
        <v>1423</v>
      </c>
    </row>
    <row r="319" spans="2:21" ht="89.25" x14ac:dyDescent="0.25">
      <c r="B319" s="12"/>
      <c r="C319" s="13" t="str">
        <f t="shared" si="23"/>
        <v>x</v>
      </c>
      <c r="D319" s="14" t="str">
        <f t="shared" si="24"/>
        <v>#Matete Nro 370
El de la mirada torcida posterior al siete
8 letras
#Juegodepalabras #adivinanzas #crucigramas</v>
      </c>
      <c r="E319" s="17"/>
      <c r="F319" s="17">
        <f t="shared" si="25"/>
        <v>111</v>
      </c>
      <c r="G319" s="6">
        <v>808968</v>
      </c>
      <c r="H319" s="1">
        <v>370</v>
      </c>
      <c r="I319" s="2" t="s">
        <v>1169</v>
      </c>
      <c r="J319" s="2" t="s">
        <v>1169</v>
      </c>
      <c r="K319" s="2" t="s">
        <v>1170</v>
      </c>
      <c r="L319" s="2">
        <f t="shared" si="22"/>
        <v>8</v>
      </c>
      <c r="M319" s="2"/>
      <c r="N319" s="2" t="s">
        <v>76</v>
      </c>
      <c r="O319" s="1">
        <v>29</v>
      </c>
      <c r="P319" s="2"/>
      <c r="Q319" s="2"/>
      <c r="R319" s="2"/>
      <c r="S319" s="2" t="s">
        <v>1171</v>
      </c>
      <c r="U319" s="2" t="s">
        <v>740</v>
      </c>
    </row>
    <row r="320" spans="2:21" ht="89.25" x14ac:dyDescent="0.25">
      <c r="B320" s="12"/>
      <c r="C320" s="13" t="str">
        <f t="shared" si="23"/>
        <v>x</v>
      </c>
      <c r="D320" s="14" t="str">
        <f t="shared" si="24"/>
        <v>#Matete Nro 293
Braceo y pataleo el importe a pagar
10 letras
#Juegodepalabras #adivinanzas #crucigramas</v>
      </c>
      <c r="E320" s="17"/>
      <c r="F320" s="17">
        <f t="shared" si="25"/>
        <v>105</v>
      </c>
      <c r="G320" s="6">
        <v>813906</v>
      </c>
      <c r="H320" s="1">
        <v>293</v>
      </c>
      <c r="I320" s="2" t="s">
        <v>977</v>
      </c>
      <c r="J320" s="2" t="s">
        <v>980</v>
      </c>
      <c r="K320" s="2" t="s">
        <v>978</v>
      </c>
      <c r="L320" s="2">
        <f t="shared" si="22"/>
        <v>10</v>
      </c>
      <c r="M320" s="2" t="s">
        <v>349</v>
      </c>
      <c r="N320" s="2" t="s">
        <v>3</v>
      </c>
      <c r="O320" s="1">
        <v>23</v>
      </c>
      <c r="P320" s="2"/>
      <c r="Q320" s="2"/>
      <c r="R320" s="2"/>
      <c r="S320" s="2" t="s">
        <v>979</v>
      </c>
      <c r="U320" s="2" t="s">
        <v>740</v>
      </c>
    </row>
    <row r="321" spans="2:21" ht="76.5" x14ac:dyDescent="0.25">
      <c r="B321" s="12"/>
      <c r="C321" s="13" t="str">
        <f t="shared" si="23"/>
        <v>x</v>
      </c>
      <c r="D321" s="14" t="str">
        <f t="shared" si="24"/>
        <v>#Matete Nro 138
El aspecto físico no se queda
9 letras
#Juegodepalabras #adivinanzas #crucigramas</v>
      </c>
      <c r="E321" s="17"/>
      <c r="F321" s="17">
        <f t="shared" si="25"/>
        <v>98</v>
      </c>
      <c r="G321" s="6">
        <v>819793</v>
      </c>
      <c r="H321" s="1">
        <v>138</v>
      </c>
      <c r="I321" s="2" t="s">
        <v>485</v>
      </c>
      <c r="J321" s="2" t="s">
        <v>485</v>
      </c>
      <c r="K321" s="2" t="s">
        <v>486</v>
      </c>
      <c r="L321" s="2">
        <f t="shared" si="22"/>
        <v>9</v>
      </c>
      <c r="M321" s="2" t="s">
        <v>349</v>
      </c>
      <c r="N321" s="2" t="s">
        <v>3</v>
      </c>
      <c r="O321" s="1">
        <v>13</v>
      </c>
      <c r="P321" s="2"/>
      <c r="Q321" s="2"/>
      <c r="R321" s="2"/>
      <c r="S321" s="2" t="s">
        <v>487</v>
      </c>
      <c r="U321" s="2" t="s">
        <v>7</v>
      </c>
    </row>
    <row r="322" spans="2:21" ht="89.25" x14ac:dyDescent="0.25">
      <c r="B322" s="12"/>
      <c r="C322" s="13" t="str">
        <f t="shared" si="23"/>
        <v>x</v>
      </c>
      <c r="D322" s="14" t="str">
        <f t="shared" si="24"/>
        <v>#Matete Nro 656
Lo que siente quien está enamorado del púlpito
10 letras
#Juegodepalabras #adivinanzas #crucigramas</v>
      </c>
      <c r="E322" s="17"/>
      <c r="F322" s="17">
        <f t="shared" si="25"/>
        <v>116</v>
      </c>
      <c r="G322" s="6">
        <v>822002</v>
      </c>
      <c r="H322" s="1">
        <v>656</v>
      </c>
      <c r="I322" s="2" t="s">
        <v>1600</v>
      </c>
      <c r="J322" s="2" t="s">
        <v>1603</v>
      </c>
      <c r="K322" s="2" t="s">
        <v>1601</v>
      </c>
      <c r="L322" s="2">
        <f t="shared" ref="L322:L385" si="26">LEN(I322)</f>
        <v>10</v>
      </c>
      <c r="M322" s="2" t="s">
        <v>39</v>
      </c>
      <c r="N322" s="2" t="s">
        <v>3</v>
      </c>
      <c r="O322" s="1">
        <v>35</v>
      </c>
      <c r="P322" s="2"/>
      <c r="Q322" s="2"/>
      <c r="R322" s="2"/>
      <c r="S322" s="2" t="s">
        <v>1602</v>
      </c>
      <c r="U322" s="2" t="s">
        <v>1423</v>
      </c>
    </row>
    <row r="323" spans="2:21" ht="89.25" x14ac:dyDescent="0.25">
      <c r="B323" s="12"/>
      <c r="C323" s="13" t="str">
        <f t="shared" si="23"/>
        <v>x</v>
      </c>
      <c r="D323" s="14" t="str">
        <f t="shared" si="24"/>
        <v>#Matete Nro 576
Pone distancia a la tardanza en cumplir con una obligación.
8 letras
#Juegodepalabras #adivinanzas #crucigramas</v>
      </c>
      <c r="E323" s="17"/>
      <c r="F323" s="17">
        <f t="shared" si="25"/>
        <v>128</v>
      </c>
      <c r="G323" s="6">
        <v>822909</v>
      </c>
      <c r="H323" s="1">
        <v>576</v>
      </c>
      <c r="I323" s="2" t="s">
        <v>1182</v>
      </c>
      <c r="J323" s="2" t="s">
        <v>1182</v>
      </c>
      <c r="K323" s="2" t="s">
        <v>1498</v>
      </c>
      <c r="L323" s="2">
        <f t="shared" si="26"/>
        <v>8</v>
      </c>
      <c r="M323" s="2"/>
      <c r="N323" s="2" t="s">
        <v>76</v>
      </c>
      <c r="O323" s="1">
        <v>34</v>
      </c>
      <c r="P323" s="2"/>
      <c r="Q323" s="2"/>
      <c r="R323" s="2"/>
      <c r="S323" s="2" t="s">
        <v>1499</v>
      </c>
      <c r="U323" s="2" t="s">
        <v>1423</v>
      </c>
    </row>
    <row r="324" spans="2:21" ht="89.25" x14ac:dyDescent="0.25">
      <c r="B324" s="12"/>
      <c r="C324" s="13" t="str">
        <f t="shared" si="23"/>
        <v>x</v>
      </c>
      <c r="D324" s="14" t="str">
        <f t="shared" si="24"/>
        <v>#Matete Nro 192
Anuda el lugar reservado para el botón
8 letras
#Juegodepalabras #adivinanzas #crucigramas</v>
      </c>
      <c r="E324" s="17"/>
      <c r="F324" s="17">
        <f t="shared" si="25"/>
        <v>107</v>
      </c>
      <c r="G324" s="6">
        <v>825407</v>
      </c>
      <c r="H324" s="1">
        <v>192</v>
      </c>
      <c r="I324" s="2" t="s">
        <v>663</v>
      </c>
      <c r="J324" s="2" t="s">
        <v>663</v>
      </c>
      <c r="K324" s="2" t="s">
        <v>664</v>
      </c>
      <c r="L324" s="2">
        <f t="shared" si="26"/>
        <v>8</v>
      </c>
      <c r="M324" s="2" t="s">
        <v>349</v>
      </c>
      <c r="N324" s="2" t="s">
        <v>3</v>
      </c>
      <c r="O324" s="1">
        <v>16</v>
      </c>
      <c r="P324" s="2"/>
      <c r="Q324" s="2"/>
      <c r="R324" s="2"/>
      <c r="S324" s="2" t="s">
        <v>665</v>
      </c>
      <c r="U324" s="2" t="s">
        <v>7</v>
      </c>
    </row>
    <row r="325" spans="2:21" ht="76.5" x14ac:dyDescent="0.25">
      <c r="B325" s="12"/>
      <c r="C325" s="13" t="str">
        <f t="shared" si="23"/>
        <v>x</v>
      </c>
      <c r="D325" s="14" t="str">
        <f t="shared" si="24"/>
        <v>#Matete Nro 263
Por debajo del límite superior
7 letras
#Juegodepalabras #adivinanzas #crucigramas</v>
      </c>
      <c r="E325" s="17"/>
      <c r="F325" s="17">
        <f t="shared" si="25"/>
        <v>99</v>
      </c>
      <c r="G325" s="6">
        <v>827268</v>
      </c>
      <c r="H325" s="1">
        <v>263</v>
      </c>
      <c r="I325" s="2" t="s">
        <v>880</v>
      </c>
      <c r="J325" s="2" t="s">
        <v>880</v>
      </c>
      <c r="K325" s="2" t="s">
        <v>881</v>
      </c>
      <c r="L325" s="2">
        <f t="shared" si="26"/>
        <v>7</v>
      </c>
      <c r="M325" s="2"/>
      <c r="N325" s="2" t="s">
        <v>3</v>
      </c>
      <c r="O325" s="1">
        <v>21</v>
      </c>
      <c r="P325" s="2" t="s">
        <v>882</v>
      </c>
      <c r="Q325" s="2"/>
      <c r="R325" s="2"/>
      <c r="S325" s="2" t="s">
        <v>883</v>
      </c>
      <c r="U325" s="2" t="s">
        <v>740</v>
      </c>
    </row>
    <row r="326" spans="2:21" ht="76.5" x14ac:dyDescent="0.25">
      <c r="B326" s="12"/>
      <c r="C326" s="13" t="str">
        <f t="shared" si="23"/>
        <v>x</v>
      </c>
      <c r="D326" s="14" t="str">
        <f t="shared" si="24"/>
        <v>#Matete Nro 316
Recipiente precario de orina
8 letras
#Juegodepalabras #adivinanzas #crucigramas</v>
      </c>
      <c r="E326" s="17"/>
      <c r="F326" s="17">
        <f t="shared" si="25"/>
        <v>97</v>
      </c>
      <c r="G326" s="6">
        <v>828180</v>
      </c>
      <c r="H326" s="1">
        <v>316</v>
      </c>
      <c r="I326" s="2" t="s">
        <v>1044</v>
      </c>
      <c r="J326" s="2" t="s">
        <v>1044</v>
      </c>
      <c r="K326" s="2" t="s">
        <v>1045</v>
      </c>
      <c r="L326" s="2">
        <f t="shared" si="26"/>
        <v>8</v>
      </c>
      <c r="M326" s="2"/>
      <c r="N326" s="2" t="s">
        <v>3</v>
      </c>
      <c r="O326" s="1">
        <v>25</v>
      </c>
      <c r="P326" s="2"/>
      <c r="Q326" s="2"/>
      <c r="R326" s="2"/>
      <c r="S326" s="2" t="s">
        <v>1046</v>
      </c>
      <c r="U326" s="2" t="s">
        <v>740</v>
      </c>
    </row>
    <row r="327" spans="2:21" ht="89.25" x14ac:dyDescent="0.25">
      <c r="B327" s="12"/>
      <c r="C327" s="13" t="str">
        <f t="shared" si="23"/>
        <v>x</v>
      </c>
      <c r="D327" s="14" t="str">
        <f t="shared" si="24"/>
        <v>#Matete Nro 325
Único postre que pueden pedir las vacas
6 letras
#Juegodepalabras #adivinanzas #crucigramas</v>
      </c>
      <c r="E327" s="17"/>
      <c r="F327" s="17">
        <f t="shared" si="25"/>
        <v>108</v>
      </c>
      <c r="G327" s="6">
        <v>830420</v>
      </c>
      <c r="H327" s="1">
        <v>325</v>
      </c>
      <c r="I327" s="2" t="s">
        <v>1076</v>
      </c>
      <c r="J327" s="2" t="s">
        <v>1076</v>
      </c>
      <c r="K327" s="2" t="s">
        <v>1077</v>
      </c>
      <c r="L327" s="2">
        <f t="shared" si="26"/>
        <v>6</v>
      </c>
      <c r="M327" s="2"/>
      <c r="N327" s="2" t="s">
        <v>256</v>
      </c>
      <c r="O327" s="1">
        <v>27</v>
      </c>
      <c r="P327" s="2"/>
      <c r="Q327" s="2"/>
      <c r="R327" s="2"/>
      <c r="S327" s="2" t="s">
        <v>1078</v>
      </c>
      <c r="U327" s="2" t="s">
        <v>740</v>
      </c>
    </row>
    <row r="328" spans="2:21" ht="89.25" x14ac:dyDescent="0.25">
      <c r="B328" s="12"/>
      <c r="C328" s="13" t="str">
        <f t="shared" si="23"/>
        <v>x</v>
      </c>
      <c r="D328" s="14" t="str">
        <f t="shared" si="24"/>
        <v>#Matete Nro 107
Cocino gran extensión de agua salada
6 letras
#Juegodepalabras #adivinanzas #crucigramas</v>
      </c>
      <c r="E328" s="17"/>
      <c r="F328" s="17">
        <f t="shared" si="25"/>
        <v>105</v>
      </c>
      <c r="G328" s="6">
        <v>831081</v>
      </c>
      <c r="H328" s="1">
        <v>107</v>
      </c>
      <c r="I328" s="2" t="s">
        <v>381</v>
      </c>
      <c r="J328" s="2" t="s">
        <v>381</v>
      </c>
      <c r="K328" s="2" t="s">
        <v>382</v>
      </c>
      <c r="L328" s="2">
        <f t="shared" si="26"/>
        <v>6</v>
      </c>
      <c r="M328" s="2"/>
      <c r="N328" s="2" t="s">
        <v>3</v>
      </c>
      <c r="O328" s="1">
        <v>11</v>
      </c>
      <c r="P328" s="2"/>
      <c r="Q328" s="2"/>
      <c r="R328" s="2"/>
      <c r="S328" s="2" t="s">
        <v>383</v>
      </c>
      <c r="U328" s="2" t="s">
        <v>7</v>
      </c>
    </row>
    <row r="329" spans="2:21" ht="89.25" x14ac:dyDescent="0.25">
      <c r="B329" s="12"/>
      <c r="C329" s="13" t="str">
        <f t="shared" si="23"/>
        <v>x</v>
      </c>
      <c r="D329" s="14" t="str">
        <f t="shared" si="24"/>
        <v>#Matete Nro 520
Duda entre tomar unas copas o el ferrocarril urbano
9 letras
#Juegodepalabras #adivinanzas #crucigramas</v>
      </c>
      <c r="E329" s="17"/>
      <c r="F329" s="17">
        <f t="shared" si="25"/>
        <v>120</v>
      </c>
      <c r="G329" s="6">
        <v>833273</v>
      </c>
      <c r="H329" s="1">
        <v>520</v>
      </c>
      <c r="I329" s="2" t="s">
        <v>1406</v>
      </c>
      <c r="J329" s="2" t="s">
        <v>1409</v>
      </c>
      <c r="K329" s="2" t="s">
        <v>1407</v>
      </c>
      <c r="L329" s="2">
        <f t="shared" si="26"/>
        <v>9</v>
      </c>
      <c r="M329" s="2"/>
      <c r="N329" s="2" t="s">
        <v>83</v>
      </c>
      <c r="O329" s="1">
        <v>33</v>
      </c>
      <c r="P329" s="2"/>
      <c r="Q329" s="2"/>
      <c r="R329" s="2"/>
      <c r="S329" s="2" t="s">
        <v>1408</v>
      </c>
      <c r="U329" s="2" t="s">
        <v>740</v>
      </c>
    </row>
    <row r="330" spans="2:21" ht="89.25" x14ac:dyDescent="0.25">
      <c r="B330" s="12"/>
      <c r="C330" s="13" t="str">
        <f t="shared" si="23"/>
        <v>x</v>
      </c>
      <c r="D330" s="14" t="str">
        <f t="shared" si="24"/>
        <v>#Matete Nro 728
Haga mover al todopoderoso con un remo
8 letras
#Juegodepalabras #adivinanzas #crucigramas</v>
      </c>
      <c r="E330" s="17"/>
      <c r="F330" s="17">
        <f t="shared" si="25"/>
        <v>107</v>
      </c>
      <c r="G330" s="6">
        <v>834943</v>
      </c>
      <c r="H330" s="1">
        <v>728</v>
      </c>
      <c r="I330" s="2" t="s">
        <v>1700</v>
      </c>
      <c r="J330" s="2" t="s">
        <v>1703</v>
      </c>
      <c r="K330" s="2" t="s">
        <v>1701</v>
      </c>
      <c r="L330" s="2">
        <f t="shared" si="26"/>
        <v>8</v>
      </c>
      <c r="M330" s="2" t="s">
        <v>68</v>
      </c>
      <c r="N330" s="2" t="s">
        <v>3</v>
      </c>
      <c r="O330" s="1">
        <v>37</v>
      </c>
      <c r="P330" s="2"/>
      <c r="Q330" s="2"/>
      <c r="R330" s="2"/>
      <c r="S330" s="2" t="s">
        <v>1702</v>
      </c>
      <c r="U330" s="2" t="s">
        <v>1423</v>
      </c>
    </row>
    <row r="331" spans="2:21" ht="89.25" x14ac:dyDescent="0.25">
      <c r="B331" s="12"/>
      <c r="C331" s="13" t="str">
        <f t="shared" si="23"/>
        <v>x</v>
      </c>
      <c r="D331" s="14" t="str">
        <f t="shared" si="24"/>
        <v>#Matete Nro 466
Bicho saltarín antónimo de lancha
8 letras
#Juegodepalabras #adivinanzas #crucigramas</v>
      </c>
      <c r="E331" s="17"/>
      <c r="F331" s="17">
        <f t="shared" si="25"/>
        <v>102</v>
      </c>
      <c r="G331" s="6">
        <v>836332</v>
      </c>
      <c r="H331" s="1">
        <v>466</v>
      </c>
      <c r="I331" s="2" t="s">
        <v>1329</v>
      </c>
      <c r="J331" s="2" t="s">
        <v>1329</v>
      </c>
      <c r="K331" s="2" t="s">
        <v>1330</v>
      </c>
      <c r="L331" s="2">
        <f t="shared" si="26"/>
        <v>8</v>
      </c>
      <c r="M331" s="2"/>
      <c r="N331" s="2" t="s">
        <v>76</v>
      </c>
      <c r="O331" s="1">
        <v>31</v>
      </c>
      <c r="P331" s="2"/>
      <c r="Q331" s="2"/>
      <c r="R331" s="2"/>
      <c r="S331" s="2" t="s">
        <v>1331</v>
      </c>
      <c r="U331" s="2" t="s">
        <v>740</v>
      </c>
    </row>
    <row r="332" spans="2:21" ht="89.25" x14ac:dyDescent="0.25">
      <c r="B332" s="12"/>
      <c r="C332" s="13" t="str">
        <f t="shared" si="23"/>
        <v>x</v>
      </c>
      <c r="D332" s="14" t="str">
        <f t="shared" si="24"/>
        <v>#Matete Nro 297
Tercera letra que sirve para marcar en el agua
7 letras
#Juegodepalabras #adivinanzas #crucigramas</v>
      </c>
      <c r="E332" s="17"/>
      <c r="F332" s="17">
        <f t="shared" si="25"/>
        <v>115</v>
      </c>
      <c r="G332" s="6">
        <v>837821</v>
      </c>
      <c r="H332" s="1">
        <v>297</v>
      </c>
      <c r="I332" s="2" t="s">
        <v>984</v>
      </c>
      <c r="J332" s="2" t="s">
        <v>984</v>
      </c>
      <c r="K332" s="2" t="s">
        <v>985</v>
      </c>
      <c r="L332" s="2">
        <f t="shared" si="26"/>
        <v>7</v>
      </c>
      <c r="M332" s="2"/>
      <c r="N332" s="2" t="s">
        <v>3</v>
      </c>
      <c r="O332" s="1">
        <v>23</v>
      </c>
      <c r="P332" s="2"/>
      <c r="Q332" s="2"/>
      <c r="R332" s="2"/>
      <c r="S332" s="2" t="s">
        <v>986</v>
      </c>
      <c r="U332" s="2" t="s">
        <v>740</v>
      </c>
    </row>
    <row r="333" spans="2:21" ht="89.25" x14ac:dyDescent="0.25">
      <c r="B333" s="12"/>
      <c r="C333" s="13" t="str">
        <f t="shared" si="23"/>
        <v>x</v>
      </c>
      <c r="D333" s="14" t="str">
        <f t="shared" si="24"/>
        <v>#Matete Nro 238
Contracción involuntaria del prado
9 letras
#Juegodepalabras #adivinanzas #crucigramas</v>
      </c>
      <c r="E333" s="17"/>
      <c r="F333" s="17">
        <f t="shared" si="25"/>
        <v>103</v>
      </c>
      <c r="G333" s="6">
        <v>838475</v>
      </c>
      <c r="H333" s="1">
        <v>238</v>
      </c>
      <c r="I333" s="2" t="s">
        <v>807</v>
      </c>
      <c r="J333" s="2" t="s">
        <v>807</v>
      </c>
      <c r="K333" s="2" t="s">
        <v>808</v>
      </c>
      <c r="L333" s="2">
        <f t="shared" si="26"/>
        <v>9</v>
      </c>
      <c r="M333" s="2"/>
      <c r="N333" s="2" t="s">
        <v>3</v>
      </c>
      <c r="O333" s="1">
        <v>19</v>
      </c>
      <c r="P333" s="2"/>
      <c r="Q333" s="2"/>
      <c r="R333" s="2"/>
      <c r="S333" s="2" t="s">
        <v>809</v>
      </c>
      <c r="U333" s="2" t="s">
        <v>740</v>
      </c>
    </row>
    <row r="334" spans="2:21" ht="89.25" x14ac:dyDescent="0.25">
      <c r="B334" s="12"/>
      <c r="C334" s="13" t="str">
        <f t="shared" si="23"/>
        <v>x</v>
      </c>
      <c r="D334" s="14" t="str">
        <f t="shared" si="24"/>
        <v>#Matete Nro 253
Muevo mis brazos y piernas en el agua para llegar a la Q
7 letras
#Juegodepalabras #adivinanzas #crucigramas</v>
      </c>
      <c r="E334" s="17"/>
      <c r="F334" s="17">
        <f t="shared" si="25"/>
        <v>125</v>
      </c>
      <c r="G334" s="6">
        <v>840575</v>
      </c>
      <c r="H334" s="1">
        <v>253</v>
      </c>
      <c r="I334" s="2" t="s">
        <v>846</v>
      </c>
      <c r="J334" s="2" t="s">
        <v>849</v>
      </c>
      <c r="K334" s="2" t="s">
        <v>847</v>
      </c>
      <c r="L334" s="2">
        <f t="shared" si="26"/>
        <v>7</v>
      </c>
      <c r="M334" s="2"/>
      <c r="N334" s="2" t="s">
        <v>83</v>
      </c>
      <c r="O334" s="1">
        <v>20</v>
      </c>
      <c r="P334" s="2"/>
      <c r="Q334" s="2"/>
      <c r="R334" s="2"/>
      <c r="S334" s="2" t="s">
        <v>848</v>
      </c>
      <c r="U334" s="2" t="s">
        <v>740</v>
      </c>
    </row>
    <row r="335" spans="2:21" ht="76.5" x14ac:dyDescent="0.25">
      <c r="B335" s="12"/>
      <c r="C335" s="13" t="str">
        <f t="shared" si="23"/>
        <v>x</v>
      </c>
      <c r="D335" s="14" t="str">
        <f t="shared" si="24"/>
        <v>#Matete Nro 248
Rostro de Q
6 letras
#Juegodepalabras #adivinanzas #crucigramas</v>
      </c>
      <c r="E335" s="17"/>
      <c r="F335" s="17">
        <f t="shared" si="25"/>
        <v>80</v>
      </c>
      <c r="G335" s="6">
        <v>842735</v>
      </c>
      <c r="H335" s="1">
        <v>248</v>
      </c>
      <c r="I335" s="2" t="s">
        <v>829</v>
      </c>
      <c r="J335" s="2" t="s">
        <v>829</v>
      </c>
      <c r="K335" s="2" t="s">
        <v>830</v>
      </c>
      <c r="L335" s="2">
        <f t="shared" si="26"/>
        <v>6</v>
      </c>
      <c r="M335" s="2"/>
      <c r="N335" s="2" t="s">
        <v>3</v>
      </c>
      <c r="O335" s="1">
        <v>20</v>
      </c>
      <c r="P335" s="2"/>
      <c r="Q335" s="2"/>
      <c r="R335" s="2"/>
      <c r="S335" s="2" t="s">
        <v>831</v>
      </c>
      <c r="U335" s="2" t="s">
        <v>740</v>
      </c>
    </row>
    <row r="336" spans="2:21" ht="89.25" x14ac:dyDescent="0.25">
      <c r="B336" s="12"/>
      <c r="C336" s="13" t="str">
        <f t="shared" si="23"/>
        <v>x</v>
      </c>
      <c r="D336" s="14" t="str">
        <f t="shared" si="24"/>
        <v>#Matete Nro 103
Imaginé dos veces lo mismo mientras dormía
6 letras
#Juegodepalabras #adivinanzas #crucigramas</v>
      </c>
      <c r="E336" s="17"/>
      <c r="F336" s="17">
        <f t="shared" si="25"/>
        <v>111</v>
      </c>
      <c r="G336" s="6">
        <v>849916</v>
      </c>
      <c r="H336" s="1">
        <v>103</v>
      </c>
      <c r="I336" s="2" t="s">
        <v>368</v>
      </c>
      <c r="J336" s="2" t="s">
        <v>371</v>
      </c>
      <c r="K336" s="2" t="s">
        <v>369</v>
      </c>
      <c r="L336" s="2">
        <f t="shared" si="26"/>
        <v>6</v>
      </c>
      <c r="M336" s="2" t="s">
        <v>349</v>
      </c>
      <c r="N336" s="2" t="s">
        <v>3</v>
      </c>
      <c r="O336" s="1">
        <v>10</v>
      </c>
      <c r="P336" s="2"/>
      <c r="Q336" s="2"/>
      <c r="R336" s="2"/>
      <c r="S336" s="2" t="s">
        <v>370</v>
      </c>
      <c r="U336" s="2" t="s">
        <v>7</v>
      </c>
    </row>
    <row r="337" spans="2:21" ht="89.25" x14ac:dyDescent="0.25">
      <c r="B337" s="12"/>
      <c r="C337" s="13" t="str">
        <f t="shared" si="23"/>
        <v>x</v>
      </c>
      <c r="D337" s="14" t="str">
        <f t="shared" si="24"/>
        <v>#Matete Nro 73
Médico que no atiende al que revisa la basura
8 letras
#Juegodepalabras #adivinanzas #crucigramas</v>
      </c>
      <c r="E337" s="17"/>
      <c r="F337" s="17">
        <f t="shared" si="25"/>
        <v>113</v>
      </c>
      <c r="G337" s="6">
        <v>849941</v>
      </c>
      <c r="H337" s="1">
        <v>73</v>
      </c>
      <c r="I337" s="2" t="s">
        <v>258</v>
      </c>
      <c r="J337" s="2" t="s">
        <v>258</v>
      </c>
      <c r="K337" s="2" t="s">
        <v>259</v>
      </c>
      <c r="L337" s="2">
        <f t="shared" si="26"/>
        <v>8</v>
      </c>
      <c r="M337" s="2" t="s">
        <v>2</v>
      </c>
      <c r="N337" s="2" t="s">
        <v>3</v>
      </c>
      <c r="O337" s="1">
        <v>7</v>
      </c>
      <c r="P337" s="2"/>
      <c r="Q337" s="2"/>
      <c r="R337" s="2"/>
      <c r="S337" s="2" t="s">
        <v>260</v>
      </c>
      <c r="U337" s="2" t="s">
        <v>7</v>
      </c>
    </row>
    <row r="338" spans="2:21" ht="89.25" x14ac:dyDescent="0.25">
      <c r="B338" s="12"/>
      <c r="C338" s="13" t="str">
        <f t="shared" si="23"/>
        <v>x</v>
      </c>
      <c r="D338" s="14" t="str">
        <f t="shared" si="24"/>
        <v>#Matete Nro 26
Extiendo mermelada sobre el primer naipe de la baraja
6 letras
#Juegodepalabras #adivinanzas #crucigramas</v>
      </c>
      <c r="E338" s="17"/>
      <c r="F338" s="17">
        <f t="shared" si="25"/>
        <v>121</v>
      </c>
      <c r="G338" s="6">
        <v>850996</v>
      </c>
      <c r="H338" s="1">
        <v>26</v>
      </c>
      <c r="I338" s="2" t="s">
        <v>95</v>
      </c>
      <c r="J338" s="2" t="s">
        <v>95</v>
      </c>
      <c r="K338" s="2" t="s">
        <v>96</v>
      </c>
      <c r="L338" s="2">
        <f t="shared" si="26"/>
        <v>6</v>
      </c>
      <c r="M338" s="2" t="s">
        <v>39</v>
      </c>
      <c r="N338" s="2" t="s">
        <v>3</v>
      </c>
      <c r="O338" s="1">
        <v>3</v>
      </c>
      <c r="P338" s="2"/>
      <c r="Q338" s="2"/>
      <c r="R338" s="2"/>
      <c r="S338" s="2" t="s">
        <v>97</v>
      </c>
      <c r="U338" s="2" t="s">
        <v>7</v>
      </c>
    </row>
    <row r="339" spans="2:21" ht="89.25" x14ac:dyDescent="0.25">
      <c r="B339" s="12"/>
      <c r="C339" s="13" t="str">
        <f t="shared" si="23"/>
        <v>x</v>
      </c>
      <c r="D339" s="14" t="str">
        <f t="shared" si="24"/>
        <v>#Matete Nro 339
Parte del año que escribe en el pizarrón
7 letras
#Juegodepalabras #adivinanzas #crucigramas</v>
      </c>
      <c r="E339" s="17"/>
      <c r="F339" s="17">
        <f t="shared" si="25"/>
        <v>109</v>
      </c>
      <c r="G339" s="6">
        <v>856186</v>
      </c>
      <c r="H339" s="1">
        <v>339</v>
      </c>
      <c r="I339" s="2" t="s">
        <v>1117</v>
      </c>
      <c r="J339" s="2" t="s">
        <v>1117</v>
      </c>
      <c r="K339" s="2" t="s">
        <v>1118</v>
      </c>
      <c r="L339" s="2">
        <f t="shared" si="26"/>
        <v>7</v>
      </c>
      <c r="M339" s="2"/>
      <c r="N339" s="2" t="s">
        <v>3</v>
      </c>
      <c r="O339" s="1">
        <v>28</v>
      </c>
      <c r="P339" s="2"/>
      <c r="Q339" s="2"/>
      <c r="R339" s="2"/>
      <c r="S339" s="2" t="s">
        <v>1119</v>
      </c>
      <c r="U339" s="2" t="s">
        <v>740</v>
      </c>
    </row>
    <row r="340" spans="2:21" ht="89.25" x14ac:dyDescent="0.25">
      <c r="B340" s="12"/>
      <c r="C340" s="13" t="str">
        <f t="shared" si="23"/>
        <v>x</v>
      </c>
      <c r="D340" s="14" t="str">
        <f t="shared" si="24"/>
        <v>#Matete Nro 618
Gerundio de hacer pequeñas tiras por el frío
9 letras
#Juegodepalabras #adivinanzas #crucigramas</v>
      </c>
      <c r="E340" s="17"/>
      <c r="F340" s="17">
        <f t="shared" si="25"/>
        <v>113</v>
      </c>
      <c r="G340" s="6">
        <v>858001</v>
      </c>
      <c r="H340" s="1">
        <v>618</v>
      </c>
      <c r="I340" s="2" t="s">
        <v>1543</v>
      </c>
      <c r="J340" s="2" t="s">
        <v>1546</v>
      </c>
      <c r="K340" s="2" t="s">
        <v>1544</v>
      </c>
      <c r="L340" s="2">
        <f t="shared" si="26"/>
        <v>9</v>
      </c>
      <c r="M340" s="2"/>
      <c r="N340" s="2" t="s">
        <v>256</v>
      </c>
      <c r="O340" s="1">
        <v>35</v>
      </c>
      <c r="P340" s="2"/>
      <c r="Q340" s="2"/>
      <c r="R340" s="2"/>
      <c r="S340" s="2" t="s">
        <v>1545</v>
      </c>
      <c r="U340" s="2" t="s">
        <v>1423</v>
      </c>
    </row>
    <row r="341" spans="2:21" ht="89.25" x14ac:dyDescent="0.25">
      <c r="B341" s="12"/>
      <c r="C341" s="13" t="str">
        <f t="shared" si="23"/>
        <v>x</v>
      </c>
      <c r="D341" s="14" t="str">
        <f t="shared" si="24"/>
        <v>#Matete Nro 135
Quite el contenido del tiempo que tiene un ser vivo
8 letras
#Juegodepalabras #adivinanzas #crucigramas</v>
      </c>
      <c r="E341" s="17"/>
      <c r="F341" s="17">
        <f t="shared" si="25"/>
        <v>120</v>
      </c>
      <c r="G341" s="6">
        <v>861340</v>
      </c>
      <c r="H341" s="1">
        <v>135</v>
      </c>
      <c r="I341" s="2" t="s">
        <v>479</v>
      </c>
      <c r="J341" s="2" t="s">
        <v>479</v>
      </c>
      <c r="K341" s="2" t="s">
        <v>480</v>
      </c>
      <c r="L341" s="2">
        <f t="shared" si="26"/>
        <v>8</v>
      </c>
      <c r="M341" s="2" t="s">
        <v>68</v>
      </c>
      <c r="N341" s="2" t="s">
        <v>76</v>
      </c>
      <c r="O341" s="1">
        <v>13</v>
      </c>
      <c r="P341" s="2"/>
      <c r="Q341" s="2"/>
      <c r="R341" s="2"/>
      <c r="S341" s="2" t="s">
        <v>481</v>
      </c>
      <c r="U341" s="2" t="s">
        <v>7</v>
      </c>
    </row>
    <row r="342" spans="2:21" ht="76.5" x14ac:dyDescent="0.25">
      <c r="B342" s="12"/>
      <c r="C342" s="13" t="str">
        <f t="shared" si="23"/>
        <v>x</v>
      </c>
      <c r="D342" s="14" t="str">
        <f t="shared" si="24"/>
        <v>#Matete Nro 257
Derramo la Q
8 letras
#Juegodepalabras #adivinanzas #crucigramas</v>
      </c>
      <c r="E342" s="17"/>
      <c r="F342" s="17">
        <f t="shared" si="25"/>
        <v>81</v>
      </c>
      <c r="G342" s="6">
        <v>863780</v>
      </c>
      <c r="H342" s="1">
        <v>257</v>
      </c>
      <c r="I342" s="2" t="s">
        <v>859</v>
      </c>
      <c r="J342" s="2" t="s">
        <v>859</v>
      </c>
      <c r="K342" s="2" t="s">
        <v>860</v>
      </c>
      <c r="L342" s="2">
        <f t="shared" si="26"/>
        <v>8</v>
      </c>
      <c r="M342" s="2"/>
      <c r="N342" s="2" t="s">
        <v>3</v>
      </c>
      <c r="O342" s="1">
        <v>20</v>
      </c>
      <c r="P342" s="2"/>
      <c r="Q342" s="2"/>
      <c r="R342" s="2"/>
      <c r="S342" s="2" t="s">
        <v>861</v>
      </c>
      <c r="U342" s="2" t="s">
        <v>740</v>
      </c>
    </row>
    <row r="343" spans="2:21" ht="76.5" x14ac:dyDescent="0.25">
      <c r="B343" s="12"/>
      <c r="C343" s="13" t="str">
        <f t="shared" si="23"/>
        <v>x</v>
      </c>
      <c r="D343" s="14" t="str">
        <f t="shared" si="24"/>
        <v>#Matete Nro 213
Ballena asesina maltratada
9 letras
#Juegodepalabras #adivinanzas #crucigramas</v>
      </c>
      <c r="E343" s="17"/>
      <c r="F343" s="17">
        <f t="shared" si="25"/>
        <v>95</v>
      </c>
      <c r="G343" s="6">
        <v>870039</v>
      </c>
      <c r="H343" s="1">
        <v>213</v>
      </c>
      <c r="I343" s="2" t="s">
        <v>726</v>
      </c>
      <c r="J343" s="2" t="s">
        <v>726</v>
      </c>
      <c r="K343" s="2" t="s">
        <v>727</v>
      </c>
      <c r="L343" s="2">
        <f t="shared" si="26"/>
        <v>9</v>
      </c>
      <c r="M343" s="2"/>
      <c r="N343" s="2" t="s">
        <v>76</v>
      </c>
      <c r="O343" s="1">
        <v>17</v>
      </c>
      <c r="P343" s="2"/>
      <c r="Q343" s="2"/>
      <c r="R343" s="2"/>
      <c r="S343" s="2" t="s">
        <v>728</v>
      </c>
      <c r="U343" s="2" t="s">
        <v>7</v>
      </c>
    </row>
    <row r="344" spans="2:21" ht="102" x14ac:dyDescent="0.25">
      <c r="B344" s="12"/>
      <c r="C344" s="13" t="str">
        <f t="shared" si="23"/>
        <v>x</v>
      </c>
      <c r="D344" s="14" t="str">
        <f t="shared" si="24"/>
        <v>#Matete Nro 568
Alimento y cuido a una mujer de talento intelectual extraordinario
9 letras
#Juegodepalabras #adivinanzas #crucigramas</v>
      </c>
      <c r="E344" s="17"/>
      <c r="F344" s="17">
        <f t="shared" si="25"/>
        <v>135</v>
      </c>
      <c r="G344" s="6">
        <v>871469</v>
      </c>
      <c r="H344" s="1">
        <v>568</v>
      </c>
      <c r="I344" s="2" t="s">
        <v>1484</v>
      </c>
      <c r="J344" s="2" t="s">
        <v>1487</v>
      </c>
      <c r="K344" s="2" t="s">
        <v>1485</v>
      </c>
      <c r="L344" s="2">
        <f t="shared" si="26"/>
        <v>9</v>
      </c>
      <c r="M344" s="2"/>
      <c r="N344" s="2" t="s">
        <v>3</v>
      </c>
      <c r="O344" s="1">
        <v>34</v>
      </c>
      <c r="P344" s="2"/>
      <c r="Q344" s="2"/>
      <c r="R344" s="2"/>
      <c r="S344" s="2" t="s">
        <v>1486</v>
      </c>
      <c r="U344" s="2" t="s">
        <v>1423</v>
      </c>
    </row>
    <row r="345" spans="2:21" ht="89.25" x14ac:dyDescent="0.25">
      <c r="B345" s="12"/>
      <c r="C345" s="13" t="str">
        <f t="shared" si="23"/>
        <v>x</v>
      </c>
      <c r="D345" s="14" t="str">
        <f t="shared" si="24"/>
        <v>#Matete Nro 670
País que pide colocar la interjección de risa
5 letras
#Juegodepalabras #adivinanzas #crucigramas</v>
      </c>
      <c r="E345" s="17"/>
      <c r="F345" s="17">
        <f t="shared" si="25"/>
        <v>114</v>
      </c>
      <c r="G345" s="6">
        <v>878456</v>
      </c>
      <c r="H345" s="1">
        <v>670</v>
      </c>
      <c r="I345" s="2" t="s">
        <v>1618</v>
      </c>
      <c r="J345" s="2" t="s">
        <v>1621</v>
      </c>
      <c r="K345" s="2" t="s">
        <v>1619</v>
      </c>
      <c r="L345" s="2">
        <f t="shared" si="26"/>
        <v>5</v>
      </c>
      <c r="M345" s="2"/>
      <c r="N345" s="2" t="s">
        <v>3</v>
      </c>
      <c r="O345" s="1">
        <v>35</v>
      </c>
      <c r="P345" s="2"/>
      <c r="Q345" s="2"/>
      <c r="R345" s="2"/>
      <c r="S345" s="2" t="s">
        <v>1620</v>
      </c>
      <c r="U345" s="2" t="s">
        <v>1423</v>
      </c>
    </row>
    <row r="346" spans="2:21" ht="76.5" x14ac:dyDescent="0.25">
      <c r="B346" s="12"/>
      <c r="C346" s="13" t="str">
        <f t="shared" si="23"/>
        <v>x</v>
      </c>
      <c r="D346" s="14" t="str">
        <f t="shared" si="24"/>
        <v>#Matete Nro 36
Cerebro sin contaminantes
9 letras
#Juegodepalabras #adivinanzas #crucigramas</v>
      </c>
      <c r="E346" s="17"/>
      <c r="F346" s="17">
        <f t="shared" si="25"/>
        <v>93</v>
      </c>
      <c r="G346" s="6">
        <v>879905</v>
      </c>
      <c r="H346" s="1">
        <v>36</v>
      </c>
      <c r="I346" s="2" t="s">
        <v>132</v>
      </c>
      <c r="J346" s="2" t="s">
        <v>132</v>
      </c>
      <c r="K346" s="2" t="s">
        <v>133</v>
      </c>
      <c r="L346" s="2">
        <f t="shared" si="26"/>
        <v>9</v>
      </c>
      <c r="M346" s="2" t="s">
        <v>2</v>
      </c>
      <c r="N346" s="2" t="s">
        <v>3</v>
      </c>
      <c r="O346" s="1">
        <v>4</v>
      </c>
      <c r="P346" s="2"/>
      <c r="Q346" s="2"/>
      <c r="R346" s="2"/>
      <c r="S346" s="2" t="s">
        <v>134</v>
      </c>
      <c r="U346" s="2" t="s">
        <v>7</v>
      </c>
    </row>
    <row r="347" spans="2:21" ht="76.5" x14ac:dyDescent="0.25">
      <c r="B347" s="12"/>
      <c r="C347" s="13" t="str">
        <f t="shared" si="23"/>
        <v>x</v>
      </c>
      <c r="D347" s="14" t="str">
        <f t="shared" si="24"/>
        <v>#Matete Nro 65
Lástima disponible
9 letras
#Juegodepalabras #adivinanzas #crucigramas</v>
      </c>
      <c r="E347" s="17"/>
      <c r="F347" s="17">
        <f t="shared" si="25"/>
        <v>86</v>
      </c>
      <c r="G347" s="6">
        <v>883830</v>
      </c>
      <c r="H347" s="1">
        <v>65</v>
      </c>
      <c r="I347" s="2" t="s">
        <v>229</v>
      </c>
      <c r="J347" s="2" t="s">
        <v>229</v>
      </c>
      <c r="K347" s="2" t="s">
        <v>230</v>
      </c>
      <c r="L347" s="2">
        <f t="shared" si="26"/>
        <v>9</v>
      </c>
      <c r="M347" s="2" t="s">
        <v>2</v>
      </c>
      <c r="N347" s="2" t="s">
        <v>3</v>
      </c>
      <c r="O347" s="1">
        <v>6</v>
      </c>
      <c r="P347" s="2" t="s">
        <v>231</v>
      </c>
      <c r="Q347" s="2" t="s">
        <v>124</v>
      </c>
      <c r="R347" s="2"/>
      <c r="S347" s="2" t="s">
        <v>232</v>
      </c>
      <c r="U347" s="2" t="s">
        <v>7</v>
      </c>
    </row>
    <row r="348" spans="2:21" ht="76.5" x14ac:dyDescent="0.25">
      <c r="B348" s="12"/>
      <c r="C348" s="13" t="str">
        <f t="shared" si="23"/>
        <v>x</v>
      </c>
      <c r="D348" s="14" t="str">
        <f t="shared" si="24"/>
        <v>#Matete Nro 70
Recorta de cierta forma
7 letras
#Juegodepalabras #adivinanzas #crucigramas</v>
      </c>
      <c r="E348" s="17"/>
      <c r="F348" s="17">
        <f t="shared" si="25"/>
        <v>91</v>
      </c>
      <c r="G348" s="6">
        <v>885480</v>
      </c>
      <c r="H348" s="1">
        <v>70</v>
      </c>
      <c r="I348" s="2" t="s">
        <v>246</v>
      </c>
      <c r="J348" s="2" t="s">
        <v>249</v>
      </c>
      <c r="K348" s="2" t="s">
        <v>247</v>
      </c>
      <c r="L348" s="2">
        <f t="shared" si="26"/>
        <v>7</v>
      </c>
      <c r="M348" s="2" t="s">
        <v>39</v>
      </c>
      <c r="N348" s="2" t="s">
        <v>3</v>
      </c>
      <c r="O348" s="1">
        <v>7</v>
      </c>
      <c r="P348" s="2"/>
      <c r="Q348" s="2"/>
      <c r="R348" s="2"/>
      <c r="S348" s="2" t="s">
        <v>248</v>
      </c>
      <c r="U348" s="2" t="s">
        <v>7</v>
      </c>
    </row>
    <row r="349" spans="2:21" ht="76.5" x14ac:dyDescent="0.25">
      <c r="B349" s="12"/>
      <c r="C349" s="13" t="str">
        <f t="shared" si="23"/>
        <v>x</v>
      </c>
      <c r="D349" s="14" t="str">
        <f t="shared" si="24"/>
        <v>#Matete Nro 708
Sin compañía divisible por dos
7 letras
#Juegodepalabras #adivinanzas #crucigramas</v>
      </c>
      <c r="E349" s="17"/>
      <c r="F349" s="17">
        <f t="shared" si="25"/>
        <v>99</v>
      </c>
      <c r="G349" s="6">
        <v>888055</v>
      </c>
      <c r="H349" s="1">
        <v>708</v>
      </c>
      <c r="I349" s="2" t="s">
        <v>1675</v>
      </c>
      <c r="J349" s="2" t="s">
        <v>1675</v>
      </c>
      <c r="K349" s="2" t="s">
        <v>1676</v>
      </c>
      <c r="L349" s="2">
        <f t="shared" si="26"/>
        <v>7</v>
      </c>
      <c r="M349" s="2" t="s">
        <v>360</v>
      </c>
      <c r="N349" s="2" t="s">
        <v>3</v>
      </c>
      <c r="O349" s="1">
        <v>36</v>
      </c>
      <c r="P349" s="2"/>
      <c r="Q349" s="2"/>
      <c r="R349" s="2"/>
      <c r="S349" s="2" t="s">
        <v>1677</v>
      </c>
      <c r="U349" s="2" t="s">
        <v>1423</v>
      </c>
    </row>
    <row r="350" spans="2:21" ht="89.25" x14ac:dyDescent="0.25">
      <c r="B350" s="12"/>
      <c r="C350" s="13" t="str">
        <f t="shared" si="23"/>
        <v>x</v>
      </c>
      <c r="D350" s="14" t="str">
        <f t="shared" si="24"/>
        <v>#Matete Nro 147
Perro bañadera para tomar un trago
7 letras
#Juegodepalabras #adivinanzas #crucigramas</v>
      </c>
      <c r="E350" s="17"/>
      <c r="F350" s="17">
        <f t="shared" si="25"/>
        <v>103</v>
      </c>
      <c r="G350" s="6">
        <v>889022</v>
      </c>
      <c r="H350" s="1">
        <v>147</v>
      </c>
      <c r="I350" s="2" t="s">
        <v>520</v>
      </c>
      <c r="J350" s="2" t="s">
        <v>520</v>
      </c>
      <c r="K350" s="2" t="s">
        <v>521</v>
      </c>
      <c r="L350" s="2">
        <f t="shared" si="26"/>
        <v>7</v>
      </c>
      <c r="M350" s="2" t="s">
        <v>360</v>
      </c>
      <c r="N350" s="2" t="s">
        <v>3</v>
      </c>
      <c r="O350" s="1">
        <v>14</v>
      </c>
      <c r="P350" s="2"/>
      <c r="Q350" s="2"/>
      <c r="R350" s="2"/>
      <c r="S350" s="2" t="s">
        <v>522</v>
      </c>
      <c r="U350" s="2" t="s">
        <v>7</v>
      </c>
    </row>
    <row r="351" spans="2:21" ht="89.25" x14ac:dyDescent="0.25">
      <c r="B351" s="12"/>
      <c r="C351" s="13" t="str">
        <f t="shared" si="23"/>
        <v>x</v>
      </c>
      <c r="D351" s="14" t="str">
        <f t="shared" si="24"/>
        <v>#Matete Nro 710
Persona de sexo femenino y el Yo de Freud
9 letras
#Juegodepalabras #adivinanzas #crucigramas</v>
      </c>
      <c r="E351" s="17"/>
      <c r="F351" s="17">
        <f t="shared" si="25"/>
        <v>110</v>
      </c>
      <c r="G351" s="6">
        <v>889920</v>
      </c>
      <c r="H351" s="1">
        <v>710</v>
      </c>
      <c r="I351" s="2" t="s">
        <v>1678</v>
      </c>
      <c r="J351" s="2" t="s">
        <v>1678</v>
      </c>
      <c r="K351" s="2" t="s">
        <v>1679</v>
      </c>
      <c r="L351" s="2">
        <f t="shared" si="26"/>
        <v>9</v>
      </c>
      <c r="M351" s="2" t="s">
        <v>360</v>
      </c>
      <c r="N351" s="2" t="s">
        <v>83</v>
      </c>
      <c r="O351" s="1">
        <v>36</v>
      </c>
      <c r="P351" s="2"/>
      <c r="Q351" s="2"/>
      <c r="R351" s="2"/>
      <c r="S351" s="2" t="s">
        <v>1680</v>
      </c>
      <c r="U351" s="2" t="s">
        <v>1423</v>
      </c>
    </row>
    <row r="352" spans="2:21" ht="89.25" x14ac:dyDescent="0.25">
      <c r="B352" s="12"/>
      <c r="C352" s="13" t="str">
        <f t="shared" si="23"/>
        <v>x</v>
      </c>
      <c r="D352" s="14" t="str">
        <f t="shared" si="24"/>
        <v>#Matete Nro 600
Teléfono inglés que tiene conducta moral
8 letras
#Juegodepalabras #adivinanzas #crucigramas</v>
      </c>
      <c r="E352" s="17"/>
      <c r="F352" s="17">
        <f t="shared" si="25"/>
        <v>109</v>
      </c>
      <c r="G352" s="6">
        <v>892281</v>
      </c>
      <c r="H352" s="1">
        <v>600</v>
      </c>
      <c r="I352" s="2" t="s">
        <v>1529</v>
      </c>
      <c r="J352" s="2" t="s">
        <v>1532</v>
      </c>
      <c r="K352" s="2" t="s">
        <v>1530</v>
      </c>
      <c r="L352" s="2">
        <f t="shared" si="26"/>
        <v>8</v>
      </c>
      <c r="M352" s="2"/>
      <c r="N352" s="2" t="s">
        <v>195</v>
      </c>
      <c r="O352" s="1">
        <v>35</v>
      </c>
      <c r="P352" s="2"/>
      <c r="Q352" s="2"/>
      <c r="R352" s="2"/>
      <c r="S352" s="2" t="s">
        <v>1531</v>
      </c>
      <c r="U352" s="2" t="s">
        <v>1423</v>
      </c>
    </row>
    <row r="353" spans="2:21" ht="89.25" x14ac:dyDescent="0.25">
      <c r="B353" s="12"/>
      <c r="C353" s="13" t="str">
        <f t="shared" si="23"/>
        <v>x</v>
      </c>
      <c r="D353" s="14" t="str">
        <f t="shared" si="24"/>
        <v>#Matete Nro 422
Tejido de malla de gran profundidad
7 letras
#Juegodepalabras #adivinanzas #crucigramas</v>
      </c>
      <c r="E353" s="17"/>
      <c r="F353" s="17">
        <f t="shared" si="25"/>
        <v>104</v>
      </c>
      <c r="G353" s="6">
        <v>892983</v>
      </c>
      <c r="H353" s="1">
        <v>422</v>
      </c>
      <c r="I353" s="2" t="s">
        <v>1257</v>
      </c>
      <c r="J353" s="2" t="s">
        <v>1257</v>
      </c>
      <c r="K353" s="2" t="s">
        <v>1258</v>
      </c>
      <c r="L353" s="2">
        <f t="shared" si="26"/>
        <v>7</v>
      </c>
      <c r="M353" s="2" t="s">
        <v>68</v>
      </c>
      <c r="N353" s="2" t="s">
        <v>3</v>
      </c>
      <c r="O353" s="1">
        <v>30</v>
      </c>
      <c r="P353" s="2"/>
      <c r="Q353" s="2"/>
      <c r="R353" s="2"/>
      <c r="S353" s="2" t="s">
        <v>1259</v>
      </c>
      <c r="U353" s="2" t="s">
        <v>740</v>
      </c>
    </row>
    <row r="354" spans="2:21" ht="76.5" x14ac:dyDescent="0.25">
      <c r="B354" s="12"/>
      <c r="C354" s="13" t="str">
        <f t="shared" si="23"/>
        <v>x</v>
      </c>
      <c r="D354" s="14" t="str">
        <f t="shared" si="24"/>
        <v>#Matete Nro 54
Detente pelota en forma curva
8 letras
#Juegodepalabras #adivinanzas #crucigramas</v>
      </c>
      <c r="E354" s="17"/>
      <c r="F354" s="17">
        <f t="shared" si="25"/>
        <v>97</v>
      </c>
      <c r="G354" s="6">
        <v>894077</v>
      </c>
      <c r="H354" s="1">
        <v>54</v>
      </c>
      <c r="I354" s="2" t="s">
        <v>189</v>
      </c>
      <c r="J354" s="2" t="s">
        <v>192</v>
      </c>
      <c r="K354" s="2" t="s">
        <v>190</v>
      </c>
      <c r="L354" s="2">
        <f t="shared" si="26"/>
        <v>8</v>
      </c>
      <c r="M354" s="2" t="s">
        <v>2</v>
      </c>
      <c r="N354" s="2" t="s">
        <v>3</v>
      </c>
      <c r="O354" s="1">
        <v>5</v>
      </c>
      <c r="P354" s="2"/>
      <c r="Q354" s="2"/>
      <c r="R354" s="2"/>
      <c r="S354" s="2" t="s">
        <v>191</v>
      </c>
      <c r="U354" s="2" t="s">
        <v>7</v>
      </c>
    </row>
    <row r="355" spans="2:21" ht="89.25" x14ac:dyDescent="0.25">
      <c r="B355" s="12"/>
      <c r="C355" s="13" t="str">
        <f t="shared" si="23"/>
        <v>x</v>
      </c>
      <c r="D355" s="14" t="str">
        <f t="shared" si="24"/>
        <v>#Matete Nro 118
Dios nórdico con sabor a dentífrico
8 letras
#Juegodepalabras #adivinanzas #crucigramas</v>
      </c>
      <c r="E355" s="17"/>
      <c r="F355" s="17">
        <f t="shared" si="25"/>
        <v>104</v>
      </c>
      <c r="G355" s="6">
        <v>900924</v>
      </c>
      <c r="H355" s="1">
        <v>118</v>
      </c>
      <c r="I355" s="2" t="s">
        <v>420</v>
      </c>
      <c r="J355" s="2" t="s">
        <v>420</v>
      </c>
      <c r="K355" s="2" t="s">
        <v>421</v>
      </c>
      <c r="L355" s="2">
        <f t="shared" si="26"/>
        <v>8</v>
      </c>
      <c r="M355" s="2" t="s">
        <v>360</v>
      </c>
      <c r="N355" s="2" t="s">
        <v>3</v>
      </c>
      <c r="O355" s="1">
        <v>12</v>
      </c>
      <c r="P355" s="2" t="s">
        <v>422</v>
      </c>
      <c r="Q355" s="2" t="s">
        <v>124</v>
      </c>
      <c r="R355" s="2"/>
      <c r="S355" s="2" t="s">
        <v>423</v>
      </c>
      <c r="U355" s="2" t="s">
        <v>7</v>
      </c>
    </row>
    <row r="356" spans="2:21" ht="89.25" x14ac:dyDescent="0.25">
      <c r="B356" s="12"/>
      <c r="C356" s="13" t="str">
        <f t="shared" si="23"/>
        <v>x</v>
      </c>
      <c r="D356" s="14" t="str">
        <f t="shared" si="24"/>
        <v>#Matete Nro 730
Divida en dos partes lo que no está enfermo
9 letras
#Juegodepalabras #adivinanzas #crucigramas</v>
      </c>
      <c r="E356" s="17"/>
      <c r="F356" s="17">
        <f t="shared" si="25"/>
        <v>112</v>
      </c>
      <c r="G356" s="6">
        <v>903077</v>
      </c>
      <c r="H356" s="1">
        <v>730</v>
      </c>
      <c r="I356" s="2" t="s">
        <v>1704</v>
      </c>
      <c r="J356" s="2" t="s">
        <v>1704</v>
      </c>
      <c r="K356" s="2" t="s">
        <v>1705</v>
      </c>
      <c r="L356" s="2">
        <f t="shared" si="26"/>
        <v>9</v>
      </c>
      <c r="M356" s="2" t="s">
        <v>68</v>
      </c>
      <c r="N356" s="2" t="s">
        <v>3</v>
      </c>
      <c r="O356" s="1">
        <v>37</v>
      </c>
      <c r="P356" s="2"/>
      <c r="Q356" s="2"/>
      <c r="R356" s="2"/>
      <c r="S356" s="2" t="s">
        <v>1706</v>
      </c>
      <c r="U356" s="2" t="s">
        <v>1423</v>
      </c>
    </row>
    <row r="357" spans="2:21" ht="89.25" x14ac:dyDescent="0.25">
      <c r="B357" s="12"/>
      <c r="C357" s="13" t="str">
        <f t="shared" si="23"/>
        <v>x</v>
      </c>
      <c r="D357" s="14" t="str">
        <f t="shared" si="24"/>
        <v>#Matete Nro 724
Dícese de lo que tiene contraseña
8 letras
#Juegodepalabras #adivinanzas #crucigramas</v>
      </c>
      <c r="E357" s="17"/>
      <c r="F357" s="17">
        <f t="shared" si="25"/>
        <v>102</v>
      </c>
      <c r="G357" s="6">
        <v>905084</v>
      </c>
      <c r="H357" s="1">
        <v>724</v>
      </c>
      <c r="I357" s="2" t="s">
        <v>1693</v>
      </c>
      <c r="J357" s="2" t="s">
        <v>1696</v>
      </c>
      <c r="K357" s="2" t="s">
        <v>1694</v>
      </c>
      <c r="L357" s="2">
        <f t="shared" si="26"/>
        <v>8</v>
      </c>
      <c r="M357" s="2" t="s">
        <v>68</v>
      </c>
      <c r="N357" s="2" t="s">
        <v>3</v>
      </c>
      <c r="O357" s="1">
        <v>37</v>
      </c>
      <c r="P357" s="2"/>
      <c r="Q357" s="2"/>
      <c r="R357" s="2"/>
      <c r="S357" s="2" t="s">
        <v>1695</v>
      </c>
      <c r="U357" s="2" t="s">
        <v>1423</v>
      </c>
    </row>
    <row r="358" spans="2:21" ht="89.25" x14ac:dyDescent="0.25">
      <c r="B358" s="12"/>
      <c r="C358" s="13" t="str">
        <f t="shared" si="23"/>
        <v>x</v>
      </c>
      <c r="D358" s="14" t="str">
        <f t="shared" si="24"/>
        <v>#Matete Nro 528
Cuatro posiciones alfabéticas antes que finca
5 letras
#Juegodepalabras #adivinanzas #crucigramas</v>
      </c>
      <c r="E358" s="17"/>
      <c r="F358" s="17">
        <f t="shared" si="25"/>
        <v>114</v>
      </c>
      <c r="G358" s="6">
        <v>910747</v>
      </c>
      <c r="H358" s="1">
        <v>528</v>
      </c>
      <c r="I358" s="2" t="s">
        <v>1416</v>
      </c>
      <c r="J358" s="2" t="s">
        <v>1419</v>
      </c>
      <c r="K358" s="2" t="s">
        <v>1417</v>
      </c>
      <c r="L358" s="2">
        <f t="shared" si="26"/>
        <v>5</v>
      </c>
      <c r="M358" s="2"/>
      <c r="N358" s="2" t="s">
        <v>3</v>
      </c>
      <c r="O358" s="1">
        <v>33</v>
      </c>
      <c r="P358" s="2"/>
      <c r="Q358" s="2"/>
      <c r="R358" s="2"/>
      <c r="S358" s="2" t="s">
        <v>1418</v>
      </c>
      <c r="U358" s="2" t="s">
        <v>740</v>
      </c>
    </row>
    <row r="359" spans="2:21" ht="89.25" x14ac:dyDescent="0.25">
      <c r="B359" s="12"/>
      <c r="C359" s="13" t="str">
        <f t="shared" si="23"/>
        <v>x</v>
      </c>
      <c r="D359" s="14" t="str">
        <f t="shared" si="24"/>
        <v>#Matete Nro 150
Camina dos veces de un lado a otro
6 letras
#Juegodepalabras #adivinanzas #crucigramas</v>
      </c>
      <c r="E359" s="17"/>
      <c r="F359" s="17">
        <f t="shared" si="25"/>
        <v>103</v>
      </c>
      <c r="G359" s="6">
        <v>910759</v>
      </c>
      <c r="H359" s="1">
        <v>150</v>
      </c>
      <c r="I359" s="2" t="s">
        <v>529</v>
      </c>
      <c r="J359" s="2" t="s">
        <v>529</v>
      </c>
      <c r="K359" s="2" t="s">
        <v>530</v>
      </c>
      <c r="L359" s="2">
        <f t="shared" si="26"/>
        <v>6</v>
      </c>
      <c r="M359" s="2"/>
      <c r="N359" s="2" t="s">
        <v>3</v>
      </c>
      <c r="O359" s="1">
        <v>14</v>
      </c>
      <c r="P359" s="2"/>
      <c r="Q359" s="2"/>
      <c r="R359" s="2"/>
      <c r="S359" s="2" t="s">
        <v>531</v>
      </c>
      <c r="U359" s="2" t="s">
        <v>7</v>
      </c>
    </row>
    <row r="360" spans="2:21" ht="89.25" x14ac:dyDescent="0.25">
      <c r="B360" s="12"/>
      <c r="C360" s="13" t="str">
        <f t="shared" si="23"/>
        <v>x</v>
      </c>
      <c r="D360" s="14" t="str">
        <f t="shared" si="24"/>
        <v>#Matete Nro 454
Recorta la extensión de agua salada
7 letras
#Juegodepalabras #adivinanzas #crucigramas</v>
      </c>
      <c r="E360" s="17"/>
      <c r="F360" s="17">
        <f t="shared" si="25"/>
        <v>104</v>
      </c>
      <c r="G360" s="6">
        <v>911956</v>
      </c>
      <c r="H360" s="1">
        <v>454</v>
      </c>
      <c r="I360" s="2" t="s">
        <v>1308</v>
      </c>
      <c r="J360" s="2" t="s">
        <v>1308</v>
      </c>
      <c r="K360" s="2" t="s">
        <v>1309</v>
      </c>
      <c r="L360" s="2">
        <f t="shared" si="26"/>
        <v>7</v>
      </c>
      <c r="M360" s="2"/>
      <c r="N360" s="2" t="s">
        <v>3</v>
      </c>
      <c r="O360" s="1">
        <v>31</v>
      </c>
      <c r="P360" s="2"/>
      <c r="Q360" s="2"/>
      <c r="R360" s="2"/>
      <c r="S360" s="2" t="s">
        <v>1310</v>
      </c>
      <c r="U360" s="2" t="s">
        <v>740</v>
      </c>
    </row>
    <row r="361" spans="2:21" ht="102" x14ac:dyDescent="0.25">
      <c r="B361" s="12"/>
      <c r="C361" s="13" t="str">
        <f t="shared" si="23"/>
        <v>x</v>
      </c>
      <c r="D361" s="14" t="str">
        <f t="shared" si="24"/>
        <v>#Matete Nro 376
Tela suelta que se lleva sobre los hombros que ha sido llamada a declarar
10 letras
#Juegodepalabras #adivinanzas #crucigramas</v>
      </c>
      <c r="E361" s="17"/>
      <c r="F361" s="17">
        <f t="shared" si="25"/>
        <v>143</v>
      </c>
      <c r="G361" s="6">
        <v>916462</v>
      </c>
      <c r="H361" s="1">
        <v>376</v>
      </c>
      <c r="I361" s="2" t="s">
        <v>1178</v>
      </c>
      <c r="J361" s="2" t="s">
        <v>1181</v>
      </c>
      <c r="K361" s="2" t="s">
        <v>1179</v>
      </c>
      <c r="L361" s="2">
        <f t="shared" si="26"/>
        <v>10</v>
      </c>
      <c r="M361" s="2"/>
      <c r="N361" s="2" t="s">
        <v>3</v>
      </c>
      <c r="O361" s="1">
        <v>29</v>
      </c>
      <c r="P361" s="2"/>
      <c r="Q361" s="2"/>
      <c r="R361" s="2"/>
      <c r="S361" s="2" t="s">
        <v>1180</v>
      </c>
      <c r="U361" s="2" t="s">
        <v>740</v>
      </c>
    </row>
    <row r="362" spans="2:21" ht="89.25" x14ac:dyDescent="0.25">
      <c r="B362" s="12"/>
      <c r="C362" s="13" t="str">
        <f t="shared" si="23"/>
        <v>x</v>
      </c>
      <c r="D362" s="14" t="str">
        <f t="shared" si="24"/>
        <v>#Matete Nro 572
Danza que dice que están equivocados los dos.
8 letras
#Juegodepalabras #adivinanzas #crucigramas</v>
      </c>
      <c r="E362" s="17"/>
      <c r="F362" s="17">
        <f t="shared" si="25"/>
        <v>114</v>
      </c>
      <c r="G362" s="6">
        <v>918718</v>
      </c>
      <c r="H362" s="1">
        <v>572</v>
      </c>
      <c r="I362" s="2" t="s">
        <v>1492</v>
      </c>
      <c r="J362" s="2" t="s">
        <v>1492</v>
      </c>
      <c r="K362" s="2" t="s">
        <v>1493</v>
      </c>
      <c r="L362" s="2">
        <f t="shared" si="26"/>
        <v>8</v>
      </c>
      <c r="M362" s="2"/>
      <c r="N362" s="2" t="s">
        <v>3</v>
      </c>
      <c r="O362" s="1">
        <v>34</v>
      </c>
      <c r="P362" s="2"/>
      <c r="Q362" s="2"/>
      <c r="R362" s="2"/>
      <c r="S362" s="2" t="s">
        <v>1494</v>
      </c>
      <c r="U362" s="2" t="s">
        <v>1423</v>
      </c>
    </row>
    <row r="363" spans="2:21" ht="102" x14ac:dyDescent="0.25">
      <c r="B363" s="12"/>
      <c r="C363" s="13" t="str">
        <f t="shared" si="23"/>
        <v>x</v>
      </c>
      <c r="D363" s="14" t="str">
        <f t="shared" si="24"/>
        <v>#Matete Nro 311
Que no diga la verdad la relación entre el diámetro y la circunferencia
8 letras
#Juegodepalabras #adivinanzas #crucigramas</v>
      </c>
      <c r="E363" s="17"/>
      <c r="F363" s="17">
        <f t="shared" si="25"/>
        <v>140</v>
      </c>
      <c r="G363" s="6">
        <v>921949</v>
      </c>
      <c r="H363" s="1">
        <v>311</v>
      </c>
      <c r="I363" s="2" t="s">
        <v>1032</v>
      </c>
      <c r="J363" s="2" t="s">
        <v>1032</v>
      </c>
      <c r="K363" s="2" t="s">
        <v>1033</v>
      </c>
      <c r="L363" s="2">
        <f t="shared" si="26"/>
        <v>8</v>
      </c>
      <c r="M363" s="2"/>
      <c r="N363" s="2" t="s">
        <v>3</v>
      </c>
      <c r="O363" s="1">
        <v>24</v>
      </c>
      <c r="P363" s="2"/>
      <c r="Q363" s="2"/>
      <c r="R363" s="2"/>
      <c r="S363" s="2" t="s">
        <v>1034</v>
      </c>
      <c r="U363" s="2" t="s">
        <v>740</v>
      </c>
    </row>
    <row r="364" spans="2:21" ht="76.5" x14ac:dyDescent="0.25">
      <c r="B364" s="12"/>
      <c r="C364" s="13" t="str">
        <f t="shared" si="23"/>
        <v>x</v>
      </c>
      <c r="D364" s="14" t="str">
        <f t="shared" si="24"/>
        <v>#Matete Nro 304
Se opone a una de las caras
7 letras
#Juegodepalabras #adivinanzas #crucigramas</v>
      </c>
      <c r="E364" s="17"/>
      <c r="F364" s="17">
        <f t="shared" si="25"/>
        <v>96</v>
      </c>
      <c r="G364" s="6">
        <v>925579</v>
      </c>
      <c r="H364" s="1">
        <v>304</v>
      </c>
      <c r="I364" s="2" t="s">
        <v>1008</v>
      </c>
      <c r="J364" s="2" t="s">
        <v>1008</v>
      </c>
      <c r="K364" s="2" t="s">
        <v>1009</v>
      </c>
      <c r="L364" s="2">
        <f t="shared" si="26"/>
        <v>7</v>
      </c>
      <c r="M364" s="2" t="s">
        <v>349</v>
      </c>
      <c r="N364" s="2" t="s">
        <v>3</v>
      </c>
      <c r="O364" s="1">
        <v>23</v>
      </c>
      <c r="P364" s="2"/>
      <c r="Q364" s="2"/>
      <c r="R364" s="2"/>
      <c r="S364" s="2" t="s">
        <v>1010</v>
      </c>
      <c r="U364" s="2" t="s">
        <v>740</v>
      </c>
    </row>
    <row r="365" spans="2:21" ht="89.25" x14ac:dyDescent="0.25">
      <c r="B365" s="16"/>
      <c r="C365" s="13" t="str">
        <f t="shared" si="23"/>
        <v>x</v>
      </c>
      <c r="D365" s="14" t="str">
        <f t="shared" si="24"/>
        <v>#Matete Nro 220
Se detiene en este mismo lugar como un avaro
7 letras
#Juegodepalabras #adivinanzas #crucigramas</v>
      </c>
      <c r="E365" s="17"/>
      <c r="F365" s="17">
        <f t="shared" si="25"/>
        <v>113</v>
      </c>
      <c r="G365" s="6">
        <v>928672</v>
      </c>
      <c r="H365" s="5">
        <v>220</v>
      </c>
      <c r="I365" s="4" t="s">
        <v>748</v>
      </c>
      <c r="J365" s="4" t="s">
        <v>752</v>
      </c>
      <c r="K365" s="4" t="s">
        <v>749</v>
      </c>
      <c r="L365" s="2">
        <f t="shared" si="26"/>
        <v>7</v>
      </c>
      <c r="M365" s="4"/>
      <c r="N365" s="4" t="s">
        <v>3</v>
      </c>
      <c r="O365" s="5">
        <v>18</v>
      </c>
      <c r="P365" s="4" t="s">
        <v>750</v>
      </c>
      <c r="Q365" s="4"/>
      <c r="R365" s="4"/>
      <c r="S365" s="4" t="s">
        <v>751</v>
      </c>
      <c r="U365" s="4" t="s">
        <v>740</v>
      </c>
    </row>
    <row r="366" spans="2:21" ht="102" x14ac:dyDescent="0.25">
      <c r="B366" s="12"/>
      <c r="C366" s="13" t="str">
        <f t="shared" si="23"/>
        <v>x</v>
      </c>
      <c r="D366" s="14" t="str">
        <f t="shared" si="24"/>
        <v>#Matete Nro 265
Enumeré la cantidad de lechos donde las aves incuban los huevos
10 letras
#Juegodepalabras #adivinanzas #crucigramas</v>
      </c>
      <c r="E366" s="17"/>
      <c r="F366" s="17">
        <f t="shared" si="25"/>
        <v>133</v>
      </c>
      <c r="G366" s="6">
        <v>930424</v>
      </c>
      <c r="H366" s="1">
        <v>265</v>
      </c>
      <c r="I366" s="2" t="s">
        <v>887</v>
      </c>
      <c r="J366" s="2" t="s">
        <v>890</v>
      </c>
      <c r="K366" s="2" t="s">
        <v>888</v>
      </c>
      <c r="L366" s="2">
        <f t="shared" si="26"/>
        <v>10</v>
      </c>
      <c r="M366" s="2" t="s">
        <v>349</v>
      </c>
      <c r="N366" s="2" t="s">
        <v>3</v>
      </c>
      <c r="O366" s="1">
        <v>21</v>
      </c>
      <c r="P366" s="2"/>
      <c r="Q366" s="2"/>
      <c r="R366" s="2"/>
      <c r="S366" s="2" t="s">
        <v>889</v>
      </c>
      <c r="U366" s="2" t="s">
        <v>740</v>
      </c>
    </row>
    <row r="367" spans="2:21" ht="76.5" x14ac:dyDescent="0.25">
      <c r="B367" s="12"/>
      <c r="C367" s="13" t="str">
        <f t="shared" si="23"/>
        <v>x</v>
      </c>
      <c r="D367" s="14" t="str">
        <f t="shared" si="24"/>
        <v>#Matete Nro 322
Coloqué a la U en una silla
7 letras
#Juegodepalabras #adivinanzas #crucigramas</v>
      </c>
      <c r="E367" s="17"/>
      <c r="F367" s="17">
        <f t="shared" si="25"/>
        <v>96</v>
      </c>
      <c r="G367" s="6">
        <v>930667</v>
      </c>
      <c r="H367" s="1">
        <v>322</v>
      </c>
      <c r="I367" s="2" t="s">
        <v>1067</v>
      </c>
      <c r="J367" s="2" t="s">
        <v>1067</v>
      </c>
      <c r="K367" s="2" t="s">
        <v>1068</v>
      </c>
      <c r="L367" s="2">
        <f t="shared" si="26"/>
        <v>7</v>
      </c>
      <c r="M367" s="2"/>
      <c r="N367" s="2" t="s">
        <v>83</v>
      </c>
      <c r="O367" s="1">
        <v>26</v>
      </c>
      <c r="P367" s="2"/>
      <c r="Q367" s="2"/>
      <c r="R367" s="2"/>
      <c r="S367" s="2" t="s">
        <v>1069</v>
      </c>
      <c r="U367" s="2" t="s">
        <v>740</v>
      </c>
    </row>
    <row r="368" spans="2:21" ht="89.25" x14ac:dyDescent="0.25">
      <c r="B368" s="12"/>
      <c r="C368" s="13" t="str">
        <f t="shared" si="23"/>
        <v>x</v>
      </c>
      <c r="D368" s="14" t="str">
        <f t="shared" si="24"/>
        <v>#Matete Nro 38
Que se enamoren de lo que no se puede predecir
8 letras
#Juegodepalabras #adivinanzas #crucigramas</v>
      </c>
      <c r="E368" s="17"/>
      <c r="F368" s="17">
        <f t="shared" si="25"/>
        <v>114</v>
      </c>
      <c r="G368" s="6">
        <v>930767</v>
      </c>
      <c r="H368" s="1">
        <v>38</v>
      </c>
      <c r="I368" s="2" t="s">
        <v>138</v>
      </c>
      <c r="J368" s="2" t="s">
        <v>138</v>
      </c>
      <c r="K368" s="2" t="s">
        <v>139</v>
      </c>
      <c r="L368" s="2">
        <f t="shared" si="26"/>
        <v>8</v>
      </c>
      <c r="M368" s="2" t="s">
        <v>39</v>
      </c>
      <c r="N368" s="2" t="s">
        <v>3</v>
      </c>
      <c r="O368" s="1">
        <v>4</v>
      </c>
      <c r="P368" s="2"/>
      <c r="Q368" s="2"/>
      <c r="R368" s="2"/>
      <c r="S368" s="2" t="s">
        <v>140</v>
      </c>
      <c r="U368" s="2" t="s">
        <v>7</v>
      </c>
    </row>
    <row r="369" spans="2:21" ht="89.25" x14ac:dyDescent="0.25">
      <c r="B369" s="12"/>
      <c r="C369" s="13" t="str">
        <f t="shared" si="23"/>
        <v>x</v>
      </c>
      <c r="D369" s="14" t="str">
        <f t="shared" si="24"/>
        <v>#Matete Nro 162
Tipo de café que ya no está encarcelado
7 letras
#Juegodepalabras #adivinanzas #crucigramas</v>
      </c>
      <c r="E369" s="17"/>
      <c r="F369" s="17">
        <f t="shared" si="25"/>
        <v>108</v>
      </c>
      <c r="G369" s="6">
        <v>933215</v>
      </c>
      <c r="H369" s="1">
        <v>162</v>
      </c>
      <c r="I369" s="2" t="s">
        <v>567</v>
      </c>
      <c r="J369" s="2" t="s">
        <v>567</v>
      </c>
      <c r="K369" s="2" t="s">
        <v>568</v>
      </c>
      <c r="L369" s="2">
        <f t="shared" si="26"/>
        <v>7</v>
      </c>
      <c r="M369" s="2" t="s">
        <v>360</v>
      </c>
      <c r="N369" s="2" t="s">
        <v>3</v>
      </c>
      <c r="O369" s="1">
        <v>15</v>
      </c>
      <c r="P369" s="2" t="s">
        <v>569</v>
      </c>
      <c r="Q369" s="2"/>
      <c r="R369" s="2"/>
      <c r="S369" s="2" t="s">
        <v>570</v>
      </c>
      <c r="U369" s="2" t="s">
        <v>7</v>
      </c>
    </row>
    <row r="370" spans="2:21" ht="76.5" x14ac:dyDescent="0.25">
      <c r="B370" s="15"/>
      <c r="C370" s="13" t="str">
        <f t="shared" si="23"/>
        <v>x</v>
      </c>
      <c r="D370" s="14" t="str">
        <f t="shared" si="24"/>
        <v>#Matete Nro 7
Condimento famoso retirado
6 letras
#Juegodepalabras #adivinanzas #crucigramas</v>
      </c>
      <c r="E370" s="17"/>
      <c r="F370" s="17">
        <f t="shared" si="25"/>
        <v>93</v>
      </c>
      <c r="G370" s="6">
        <v>937101</v>
      </c>
      <c r="H370" s="1">
        <v>7</v>
      </c>
      <c r="I370" s="2" t="s">
        <v>25</v>
      </c>
      <c r="J370" s="2" t="s">
        <v>25</v>
      </c>
      <c r="K370" s="2" t="s">
        <v>26</v>
      </c>
      <c r="L370" s="2">
        <f t="shared" si="26"/>
        <v>6</v>
      </c>
      <c r="M370" s="2" t="s">
        <v>2</v>
      </c>
      <c r="N370" s="2" t="s">
        <v>3</v>
      </c>
      <c r="O370" s="1">
        <v>1</v>
      </c>
      <c r="P370" s="2" t="s">
        <v>27</v>
      </c>
      <c r="Q370" s="2"/>
      <c r="R370" s="2"/>
      <c r="S370" s="2" t="s">
        <v>28</v>
      </c>
      <c r="U370" s="2" t="s">
        <v>7</v>
      </c>
    </row>
    <row r="371" spans="2:21" ht="89.25" x14ac:dyDescent="0.25">
      <c r="B371" s="12"/>
      <c r="C371" s="13" t="str">
        <f t="shared" si="23"/>
        <v>x</v>
      </c>
      <c r="D371" s="14" t="str">
        <f t="shared" si="24"/>
        <v>#Matete Nro 372
Dijo que no a la falta total de actividad
7 letras
#Juegodepalabras #adivinanzas #crucigramas</v>
      </c>
      <c r="E371" s="17"/>
      <c r="F371" s="17">
        <f t="shared" si="25"/>
        <v>110</v>
      </c>
      <c r="G371" s="6">
        <v>942729</v>
      </c>
      <c r="H371" s="1">
        <v>372</v>
      </c>
      <c r="I371" s="2" t="s">
        <v>1172</v>
      </c>
      <c r="J371" s="2" t="s">
        <v>1172</v>
      </c>
      <c r="K371" s="2" t="s">
        <v>1173</v>
      </c>
      <c r="L371" s="2">
        <f t="shared" si="26"/>
        <v>7</v>
      </c>
      <c r="M371" s="2"/>
      <c r="N371" s="2" t="s">
        <v>76</v>
      </c>
      <c r="O371" s="1">
        <v>29</v>
      </c>
      <c r="P371" s="2"/>
      <c r="Q371" s="2"/>
      <c r="R371" s="2"/>
      <c r="S371" s="2" t="s">
        <v>1174</v>
      </c>
      <c r="U371" s="2" t="s">
        <v>740</v>
      </c>
    </row>
    <row r="372" spans="2:21" ht="76.5" x14ac:dyDescent="0.25">
      <c r="B372" s="12"/>
      <c r="C372" s="13" t="str">
        <f t="shared" si="23"/>
        <v>x</v>
      </c>
      <c r="D372" s="14" t="str">
        <f t="shared" si="24"/>
        <v>#Matete Nro 624
Perra inglesa que lo parió
5 letras
#Juegodepalabras #adivinanzas #crucigramas</v>
      </c>
      <c r="E372" s="17"/>
      <c r="F372" s="17">
        <f t="shared" si="25"/>
        <v>95</v>
      </c>
      <c r="G372" s="6">
        <v>954005</v>
      </c>
      <c r="H372" s="1">
        <v>624</v>
      </c>
      <c r="I372" s="2" t="s">
        <v>1553</v>
      </c>
      <c r="J372" s="2" t="s">
        <v>1553</v>
      </c>
      <c r="K372" s="2" t="s">
        <v>1554</v>
      </c>
      <c r="L372" s="2">
        <f t="shared" si="26"/>
        <v>5</v>
      </c>
      <c r="M372" s="2"/>
      <c r="N372" s="2" t="s">
        <v>3</v>
      </c>
      <c r="O372" s="1">
        <v>35</v>
      </c>
      <c r="P372" s="2"/>
      <c r="Q372" s="2"/>
      <c r="R372" s="2"/>
      <c r="S372" s="2" t="s">
        <v>1555</v>
      </c>
      <c r="U372" s="2" t="s">
        <v>1423</v>
      </c>
    </row>
    <row r="373" spans="2:21" ht="76.5" x14ac:dyDescent="0.25">
      <c r="B373" s="12"/>
      <c r="C373" s="13" t="str">
        <f t="shared" si="23"/>
        <v>x</v>
      </c>
      <c r="D373" s="14" t="str">
        <f t="shared" si="24"/>
        <v>#Matete Nro 60
Risa grande como una chacra
6 letras
#Juegodepalabras #adivinanzas #crucigramas</v>
      </c>
      <c r="E373" s="17"/>
      <c r="F373" s="17">
        <f t="shared" si="25"/>
        <v>95</v>
      </c>
      <c r="G373" s="6">
        <v>958428</v>
      </c>
      <c r="H373" s="1">
        <v>60</v>
      </c>
      <c r="I373" s="2" t="s">
        <v>211</v>
      </c>
      <c r="J373" s="2" t="s">
        <v>211</v>
      </c>
      <c r="K373" s="2" t="s">
        <v>212</v>
      </c>
      <c r="L373" s="2">
        <f t="shared" si="26"/>
        <v>6</v>
      </c>
      <c r="M373" s="2" t="s">
        <v>39</v>
      </c>
      <c r="N373" s="2" t="s">
        <v>3</v>
      </c>
      <c r="O373" s="1">
        <v>6</v>
      </c>
      <c r="P373" s="2"/>
      <c r="Q373" s="2"/>
      <c r="R373" s="2"/>
      <c r="S373" s="2" t="s">
        <v>213</v>
      </c>
      <c r="U373" s="2" t="s">
        <v>7</v>
      </c>
    </row>
    <row r="374" spans="2:21" ht="76.5" x14ac:dyDescent="0.25">
      <c r="B374" s="12"/>
      <c r="C374" s="13" t="str">
        <f t="shared" si="23"/>
        <v>x</v>
      </c>
      <c r="D374" s="14" t="str">
        <f t="shared" si="24"/>
        <v>#Matete Nro 37
Munición depilatoria
8 letras
#Juegodepalabras #adivinanzas #crucigramas</v>
      </c>
      <c r="E374" s="17"/>
      <c r="F374" s="17">
        <f t="shared" si="25"/>
        <v>88</v>
      </c>
      <c r="G374" s="6">
        <v>959986</v>
      </c>
      <c r="H374" s="1">
        <v>37</v>
      </c>
      <c r="I374" s="2" t="s">
        <v>135</v>
      </c>
      <c r="J374" s="2" t="s">
        <v>135</v>
      </c>
      <c r="K374" s="2" t="s">
        <v>136</v>
      </c>
      <c r="L374" s="2">
        <f t="shared" si="26"/>
        <v>8</v>
      </c>
      <c r="M374" s="2" t="s">
        <v>39</v>
      </c>
      <c r="N374" s="2" t="s">
        <v>3</v>
      </c>
      <c r="O374" s="1">
        <v>4</v>
      </c>
      <c r="P374" s="2"/>
      <c r="Q374" s="2"/>
      <c r="R374" s="2"/>
      <c r="S374" s="2" t="s">
        <v>137</v>
      </c>
      <c r="U374" s="2" t="s">
        <v>7</v>
      </c>
    </row>
    <row r="375" spans="2:21" ht="89.25" x14ac:dyDescent="0.25">
      <c r="B375" s="12"/>
      <c r="C375" s="13" t="str">
        <f t="shared" ref="C375:C438" si="27">IF(B375&lt;&gt;"",WEEKDAY(B375),"x")</f>
        <v>x</v>
      </c>
      <c r="D375" s="14" t="str">
        <f t="shared" si="24"/>
        <v>#Matete Nro 716
El que tiene como límite ver una A
8 letras
#Juegodepalabras #adivinanzas #crucigramas</v>
      </c>
      <c r="E375" s="17"/>
      <c r="F375" s="17">
        <f t="shared" si="25"/>
        <v>103</v>
      </c>
      <c r="G375" s="6">
        <v>961747</v>
      </c>
      <c r="H375" s="1">
        <v>716</v>
      </c>
      <c r="I375" s="2" t="s">
        <v>1687</v>
      </c>
      <c r="J375" s="2" t="s">
        <v>1687</v>
      </c>
      <c r="K375" s="2" t="s">
        <v>1688</v>
      </c>
      <c r="L375" s="2">
        <f t="shared" si="26"/>
        <v>8</v>
      </c>
      <c r="M375" s="2" t="s">
        <v>360</v>
      </c>
      <c r="N375" s="2" t="s">
        <v>83</v>
      </c>
      <c r="O375" s="1">
        <v>36</v>
      </c>
      <c r="P375" s="2"/>
      <c r="Q375" s="2"/>
      <c r="R375" s="2"/>
      <c r="S375" s="2" t="s">
        <v>1689</v>
      </c>
      <c r="U375" s="2" t="s">
        <v>1423</v>
      </c>
    </row>
    <row r="376" spans="2:21" ht="76.5" x14ac:dyDescent="0.25">
      <c r="B376" s="12"/>
      <c r="C376" s="13" t="str">
        <f t="shared" si="27"/>
        <v>x</v>
      </c>
      <c r="D376" s="14" t="str">
        <f t="shared" si="24"/>
        <v>#Matete Nro 120
Dos negaciones cantan juntas
7 letras
#Juegodepalabras #adivinanzas #crucigramas</v>
      </c>
      <c r="E376" s="17"/>
      <c r="F376" s="17">
        <f t="shared" si="25"/>
        <v>97</v>
      </c>
      <c r="G376" s="6">
        <v>962197</v>
      </c>
      <c r="H376" s="1">
        <v>120</v>
      </c>
      <c r="I376" s="2" t="s">
        <v>427</v>
      </c>
      <c r="J376" s="2" t="s">
        <v>427</v>
      </c>
      <c r="K376" s="2" t="s">
        <v>428</v>
      </c>
      <c r="L376" s="2">
        <f t="shared" si="26"/>
        <v>7</v>
      </c>
      <c r="M376" s="2"/>
      <c r="N376" s="2" t="s">
        <v>83</v>
      </c>
      <c r="O376" s="1">
        <v>12</v>
      </c>
      <c r="P376" s="2"/>
      <c r="Q376" s="2"/>
      <c r="R376" s="2"/>
      <c r="S376" s="2" t="s">
        <v>429</v>
      </c>
      <c r="U376" s="2" t="s">
        <v>7</v>
      </c>
    </row>
    <row r="377" spans="2:21" ht="89.25" x14ac:dyDescent="0.25">
      <c r="B377" s="12"/>
      <c r="C377" s="13" t="str">
        <f t="shared" si="27"/>
        <v>x</v>
      </c>
      <c r="D377" s="14" t="str">
        <f t="shared" si="24"/>
        <v>#Matete Nro 526
Traducción combinada de hombre was
6 letras
#Juegodepalabras #adivinanzas #crucigramas</v>
      </c>
      <c r="E377" s="17"/>
      <c r="F377" s="17">
        <f t="shared" si="25"/>
        <v>103</v>
      </c>
      <c r="G377" s="6">
        <v>967457</v>
      </c>
      <c r="H377" s="1">
        <v>526</v>
      </c>
      <c r="I377" s="2" t="s">
        <v>1413</v>
      </c>
      <c r="J377" s="2" t="s">
        <v>1413</v>
      </c>
      <c r="K377" s="2" t="s">
        <v>1414</v>
      </c>
      <c r="L377" s="2">
        <f t="shared" si="26"/>
        <v>6</v>
      </c>
      <c r="M377" s="2"/>
      <c r="N377" s="2" t="s">
        <v>195</v>
      </c>
      <c r="O377" s="1">
        <v>33</v>
      </c>
      <c r="P377" s="2"/>
      <c r="Q377" s="2"/>
      <c r="R377" s="2"/>
      <c r="S377" s="2" t="s">
        <v>1415</v>
      </c>
      <c r="U377" s="2" t="s">
        <v>740</v>
      </c>
    </row>
    <row r="378" spans="2:21" ht="76.5" x14ac:dyDescent="0.25">
      <c r="B378" s="12"/>
      <c r="C378" s="13" t="str">
        <f t="shared" si="27"/>
        <v>x</v>
      </c>
      <c r="D378" s="14" t="str">
        <f t="shared" si="24"/>
        <v>#Matete Nro 428
Recorta el bigote del púber
8 letras
#Juegodepalabras #adivinanzas #crucigramas</v>
      </c>
      <c r="E378" s="17"/>
      <c r="F378" s="17">
        <f t="shared" si="25"/>
        <v>96</v>
      </c>
      <c r="G378" s="6">
        <v>969981</v>
      </c>
      <c r="H378" s="1">
        <v>428</v>
      </c>
      <c r="I378" s="2" t="s">
        <v>1267</v>
      </c>
      <c r="J378" s="2" t="s">
        <v>1267</v>
      </c>
      <c r="K378" s="2" t="s">
        <v>1268</v>
      </c>
      <c r="L378" s="2">
        <f t="shared" si="26"/>
        <v>8</v>
      </c>
      <c r="M378" s="2" t="s">
        <v>360</v>
      </c>
      <c r="N378" s="2" t="s">
        <v>3</v>
      </c>
      <c r="O378" s="1">
        <v>30</v>
      </c>
      <c r="P378" s="2"/>
      <c r="Q378" s="2"/>
      <c r="R378" s="2"/>
      <c r="S378" s="2" t="s">
        <v>1269</v>
      </c>
      <c r="U378" s="2" t="s">
        <v>740</v>
      </c>
    </row>
    <row r="379" spans="2:21" ht="89.25" x14ac:dyDescent="0.25">
      <c r="B379" s="12"/>
      <c r="C379" s="13" t="str">
        <f t="shared" si="27"/>
        <v>x</v>
      </c>
      <c r="D379" s="14" t="str">
        <f t="shared" si="24"/>
        <v>#Matete Nro 548
Perro con garras y pelo blanco que vive en el bosque.
6 letras
#Juegodepalabras #adivinanzas #crucigramas</v>
      </c>
      <c r="E379" s="17"/>
      <c r="F379" s="17">
        <f t="shared" si="25"/>
        <v>122</v>
      </c>
      <c r="G379" s="6">
        <v>971647</v>
      </c>
      <c r="H379" s="1">
        <v>548</v>
      </c>
      <c r="I379" s="2" t="s">
        <v>1450</v>
      </c>
      <c r="J379" s="2" t="s">
        <v>1450</v>
      </c>
      <c r="K379" s="2" t="s">
        <v>1451</v>
      </c>
      <c r="L379" s="2">
        <f t="shared" si="26"/>
        <v>6</v>
      </c>
      <c r="M379" s="2" t="s">
        <v>68</v>
      </c>
      <c r="N379" s="2" t="s">
        <v>3</v>
      </c>
      <c r="O379" s="1">
        <v>34</v>
      </c>
      <c r="P379" s="2"/>
      <c r="Q379" s="2"/>
      <c r="R379" s="2"/>
      <c r="S379" s="2" t="s">
        <v>1452</v>
      </c>
      <c r="U379" s="2" t="s">
        <v>1423</v>
      </c>
    </row>
    <row r="380" spans="2:21" ht="76.5" x14ac:dyDescent="0.25">
      <c r="B380" s="12"/>
      <c r="C380" s="13" t="str">
        <f t="shared" si="27"/>
        <v>x</v>
      </c>
      <c r="D380" s="14" t="str">
        <f t="shared" si="24"/>
        <v>#Matete Nro 124
Cerebro perteneciente a él
6 letras
#Juegodepalabras #adivinanzas #crucigramas</v>
      </c>
      <c r="E380" s="17"/>
      <c r="F380" s="17">
        <f t="shared" si="25"/>
        <v>95</v>
      </c>
      <c r="G380" s="6">
        <v>973850</v>
      </c>
      <c r="H380" s="1">
        <v>124</v>
      </c>
      <c r="I380" s="2" t="s">
        <v>441</v>
      </c>
      <c r="J380" s="2" t="s">
        <v>441</v>
      </c>
      <c r="K380" s="2" t="s">
        <v>442</v>
      </c>
      <c r="L380" s="2">
        <f t="shared" si="26"/>
        <v>6</v>
      </c>
      <c r="M380" s="2"/>
      <c r="N380" s="2" t="s">
        <v>3</v>
      </c>
      <c r="O380" s="1">
        <v>12</v>
      </c>
      <c r="P380" s="2"/>
      <c r="Q380" s="2"/>
      <c r="R380" s="2"/>
      <c r="S380" s="2" t="s">
        <v>443</v>
      </c>
      <c r="U380" s="2" t="s">
        <v>7</v>
      </c>
    </row>
    <row r="381" spans="2:21" ht="76.5" x14ac:dyDescent="0.25">
      <c r="B381" s="12"/>
      <c r="C381" s="13" t="str">
        <f t="shared" si="27"/>
        <v>x</v>
      </c>
      <c r="D381" s="14" t="str">
        <f t="shared" ref="D381:D444" si="28">"#Matete Nro "&amp;H381&amp;CHAR(10)&amp;K381&amp;CHAR(10)&amp;L381&amp;" letras"&amp;CHAR(10)&amp;CHAR(10)&amp;"#Juegodepalabras #adivinanzas #crucigramas"</f>
        <v>#Matete Nro 270
Pelo blanco sin rulos
8 letras
#Juegodepalabras #adivinanzas #crucigramas</v>
      </c>
      <c r="E381" s="17"/>
      <c r="F381" s="17">
        <f t="shared" ref="F381:F444" si="29">LEN(D381)</f>
        <v>90</v>
      </c>
      <c r="G381" s="6">
        <v>973949</v>
      </c>
      <c r="H381" s="1">
        <v>270</v>
      </c>
      <c r="I381" s="2" t="s">
        <v>903</v>
      </c>
      <c r="J381" s="2" t="s">
        <v>906</v>
      </c>
      <c r="K381" s="2" t="s">
        <v>904</v>
      </c>
      <c r="L381" s="2">
        <f t="shared" si="26"/>
        <v>8</v>
      </c>
      <c r="M381" s="2"/>
      <c r="N381" s="2" t="s">
        <v>3</v>
      </c>
      <c r="O381" s="1">
        <v>21</v>
      </c>
      <c r="P381" s="2"/>
      <c r="Q381" s="2"/>
      <c r="R381" s="2"/>
      <c r="S381" s="2" t="s">
        <v>905</v>
      </c>
      <c r="U381" s="2" t="s">
        <v>740</v>
      </c>
    </row>
    <row r="382" spans="2:21" ht="114.75" x14ac:dyDescent="0.25">
      <c r="B382" s="12"/>
      <c r="C382" s="13" t="str">
        <f t="shared" si="27"/>
        <v>x</v>
      </c>
      <c r="D382" s="14" t="str">
        <f t="shared" si="28"/>
        <v>#Matete Nro 514
Bebida que se obtiene al colocar un saquito lleno de afirmaciones en agua hirviendo
5 letras
#Juegodepalabras #adivinanzas #crucigramas</v>
      </c>
      <c r="E382" s="17"/>
      <c r="F382" s="17">
        <f t="shared" si="29"/>
        <v>152</v>
      </c>
      <c r="G382" s="6">
        <v>975103</v>
      </c>
      <c r="H382" s="1">
        <v>514</v>
      </c>
      <c r="I382" s="2" t="s">
        <v>1397</v>
      </c>
      <c r="J382" s="2" t="s">
        <v>1397</v>
      </c>
      <c r="K382" s="2" t="s">
        <v>1398</v>
      </c>
      <c r="L382" s="2">
        <f t="shared" si="26"/>
        <v>5</v>
      </c>
      <c r="M382" s="2"/>
      <c r="N382" s="2" t="s">
        <v>3</v>
      </c>
      <c r="O382" s="1">
        <v>33</v>
      </c>
      <c r="P382" s="2"/>
      <c r="Q382" s="2"/>
      <c r="R382" s="2"/>
      <c r="S382" s="2" t="s">
        <v>1399</v>
      </c>
      <c r="U382" s="2" t="s">
        <v>740</v>
      </c>
    </row>
    <row r="383" spans="2:21" ht="89.25" x14ac:dyDescent="0.25">
      <c r="B383" s="15"/>
      <c r="C383" s="13" t="str">
        <f t="shared" si="27"/>
        <v>x</v>
      </c>
      <c r="D383" s="14" t="str">
        <f t="shared" si="28"/>
        <v>#Matete Nro 3
El hombre que tiene un hijo ahora mismo es un fruto
6 letras
#Juegodepalabras #adivinanzas #crucigramas</v>
      </c>
      <c r="E383" s="17"/>
      <c r="F383" s="17">
        <f t="shared" si="29"/>
        <v>118</v>
      </c>
      <c r="G383" s="6">
        <v>975207</v>
      </c>
      <c r="H383" s="1">
        <v>3</v>
      </c>
      <c r="I383" s="2" t="s">
        <v>13</v>
      </c>
      <c r="J383" s="2" t="s">
        <v>13</v>
      </c>
      <c r="K383" s="2" t="s">
        <v>14</v>
      </c>
      <c r="L383" s="2">
        <f t="shared" si="26"/>
        <v>6</v>
      </c>
      <c r="M383" s="2" t="s">
        <v>2</v>
      </c>
      <c r="N383" s="2" t="s">
        <v>3</v>
      </c>
      <c r="O383" s="1">
        <v>1</v>
      </c>
      <c r="P383" s="2" t="s">
        <v>15</v>
      </c>
      <c r="Q383" s="2"/>
      <c r="R383" s="2"/>
      <c r="S383" s="2" t="s">
        <v>16</v>
      </c>
      <c r="U383" s="2" t="s">
        <v>7</v>
      </c>
    </row>
    <row r="384" spans="2:21" ht="89.25" x14ac:dyDescent="0.25">
      <c r="B384" s="12"/>
      <c r="C384" s="13" t="str">
        <f t="shared" si="27"/>
        <v>x</v>
      </c>
      <c r="D384" s="14" t="str">
        <f t="shared" si="28"/>
        <v>#Matete Nro 278
Le pongo la ropa al animal peludo que gusta de la miel
7 letras
#Juegodepalabras #adivinanzas #crucigramas</v>
      </c>
      <c r="E384" s="17"/>
      <c r="F384" s="17">
        <f t="shared" si="29"/>
        <v>123</v>
      </c>
      <c r="G384" s="6">
        <v>976384</v>
      </c>
      <c r="H384" s="1">
        <v>278</v>
      </c>
      <c r="I384" s="2" t="s">
        <v>930</v>
      </c>
      <c r="J384" s="2" t="s">
        <v>930</v>
      </c>
      <c r="K384" s="2" t="s">
        <v>931</v>
      </c>
      <c r="L384" s="2">
        <f t="shared" si="26"/>
        <v>7</v>
      </c>
      <c r="M384" s="2"/>
      <c r="N384" s="2" t="s">
        <v>76</v>
      </c>
      <c r="O384" s="1">
        <v>21</v>
      </c>
      <c r="P384" s="2"/>
      <c r="Q384" s="2"/>
      <c r="R384" s="2"/>
      <c r="S384" s="2" t="s">
        <v>932</v>
      </c>
      <c r="U384" s="2" t="s">
        <v>740</v>
      </c>
    </row>
    <row r="385" spans="2:21" ht="76.5" x14ac:dyDescent="0.25">
      <c r="B385" s="12"/>
      <c r="C385" s="13" t="str">
        <f t="shared" si="27"/>
        <v>x</v>
      </c>
      <c r="D385" s="14" t="str">
        <f t="shared" si="28"/>
        <v>#Matete Nro 50
Hurto una planta acuática
9 letras
#Juegodepalabras #adivinanzas #crucigramas</v>
      </c>
      <c r="E385" s="17"/>
      <c r="F385" s="17">
        <f t="shared" si="29"/>
        <v>93</v>
      </c>
      <c r="G385" s="6">
        <v>978499</v>
      </c>
      <c r="H385" s="1">
        <v>50</v>
      </c>
      <c r="I385" s="2" t="s">
        <v>178</v>
      </c>
      <c r="J385" s="2" t="s">
        <v>178</v>
      </c>
      <c r="K385" s="2" t="s">
        <v>179</v>
      </c>
      <c r="L385" s="2">
        <f t="shared" si="26"/>
        <v>9</v>
      </c>
      <c r="M385" s="2" t="s">
        <v>2</v>
      </c>
      <c r="N385" s="2" t="s">
        <v>3</v>
      </c>
      <c r="O385" s="1">
        <v>5</v>
      </c>
      <c r="P385" s="2"/>
      <c r="Q385" s="2"/>
      <c r="R385" s="2"/>
      <c r="S385" s="2" t="s">
        <v>180</v>
      </c>
      <c r="U385" s="2" t="s">
        <v>7</v>
      </c>
    </row>
    <row r="386" spans="2:21" ht="102" x14ac:dyDescent="0.25">
      <c r="B386" s="12"/>
      <c r="C386" s="13" t="str">
        <f t="shared" si="27"/>
        <v>x</v>
      </c>
      <c r="D386" s="14" t="str">
        <f t="shared" si="28"/>
        <v>#Matete Nro 356
Patada de caballo con forma de bolsa abierta en uno de sus lados
6 letras
#Juegodepalabras #adivinanzas #crucigramas</v>
      </c>
      <c r="E386" s="17"/>
      <c r="F386" s="17">
        <f t="shared" si="29"/>
        <v>133</v>
      </c>
      <c r="G386" s="6">
        <v>979659</v>
      </c>
      <c r="H386" s="1">
        <v>356</v>
      </c>
      <c r="I386" s="2" t="s">
        <v>1147</v>
      </c>
      <c r="J386" s="2" t="s">
        <v>1147</v>
      </c>
      <c r="K386" s="2" t="s">
        <v>1148</v>
      </c>
      <c r="L386" s="2">
        <f t="shared" ref="L386:L449" si="30">LEN(I386)</f>
        <v>6</v>
      </c>
      <c r="M386" s="2"/>
      <c r="N386" s="2" t="s">
        <v>76</v>
      </c>
      <c r="O386" s="1">
        <v>29</v>
      </c>
      <c r="P386" s="2"/>
      <c r="Q386" s="2"/>
      <c r="R386" s="2"/>
      <c r="S386" s="2" t="s">
        <v>1149</v>
      </c>
      <c r="U386" s="2" t="s">
        <v>740</v>
      </c>
    </row>
    <row r="387" spans="2:21" ht="76.5" x14ac:dyDescent="0.25">
      <c r="B387" s="15"/>
      <c r="C387" s="13" t="str">
        <f t="shared" si="27"/>
        <v>x</v>
      </c>
      <c r="D387" s="14" t="str">
        <f t="shared" si="28"/>
        <v>#Matete Nro 
Envía trigo molido
9 letras
#Juegodepalabras #adivinanzas #crucigramas</v>
      </c>
      <c r="E387" s="17"/>
      <c r="F387" s="17">
        <f t="shared" si="29"/>
        <v>84</v>
      </c>
      <c r="G387" s="6">
        <v>980836</v>
      </c>
      <c r="H387" s="1"/>
      <c r="I387" s="2" t="s">
        <v>74</v>
      </c>
      <c r="J387" s="2" t="s">
        <v>74</v>
      </c>
      <c r="K387" s="2" t="s">
        <v>75</v>
      </c>
      <c r="L387" s="2">
        <f t="shared" si="30"/>
        <v>9</v>
      </c>
      <c r="M387" s="2" t="s">
        <v>2</v>
      </c>
      <c r="N387" s="2" t="s">
        <v>76</v>
      </c>
      <c r="O387" s="1">
        <v>2</v>
      </c>
      <c r="P387" s="2"/>
      <c r="Q387" s="2"/>
      <c r="R387" s="2"/>
      <c r="S387" s="2" t="s">
        <v>77</v>
      </c>
      <c r="U387" s="2" t="s">
        <v>7</v>
      </c>
    </row>
    <row r="388" spans="2:21" ht="76.5" x14ac:dyDescent="0.25">
      <c r="B388" s="12"/>
      <c r="C388" s="13" t="str">
        <f t="shared" si="27"/>
        <v>x</v>
      </c>
      <c r="D388" s="14" t="str">
        <f t="shared" si="28"/>
        <v>#Matete Nro 146
El que dejó de estar tirado
9 letras
#Juegodepalabras #adivinanzas #crucigramas</v>
      </c>
      <c r="E388" s="17"/>
      <c r="F388" s="17">
        <f t="shared" si="29"/>
        <v>96</v>
      </c>
      <c r="G388" s="6">
        <v>984658</v>
      </c>
      <c r="H388" s="1">
        <v>146</v>
      </c>
      <c r="I388" s="2" t="s">
        <v>515</v>
      </c>
      <c r="J388" s="2" t="s">
        <v>519</v>
      </c>
      <c r="K388" s="2" t="s">
        <v>516</v>
      </c>
      <c r="L388" s="2">
        <f t="shared" si="30"/>
        <v>9</v>
      </c>
      <c r="M388" s="2"/>
      <c r="N388" s="2" t="s">
        <v>3</v>
      </c>
      <c r="O388" s="1">
        <v>14</v>
      </c>
      <c r="P388" s="2" t="s">
        <v>517</v>
      </c>
      <c r="Q388" s="2"/>
      <c r="R388" s="2"/>
      <c r="S388" s="2" t="s">
        <v>518</v>
      </c>
      <c r="U388" s="2" t="s">
        <v>7</v>
      </c>
    </row>
    <row r="389" spans="2:21" ht="102" x14ac:dyDescent="0.25">
      <c r="B389" s="12"/>
      <c r="C389" s="13" t="str">
        <f t="shared" si="27"/>
        <v>x</v>
      </c>
      <c r="D389" s="14" t="str">
        <f t="shared" si="28"/>
        <v>#Matete Nro 308
Disyunción entre la relación del diámetro y el sueño que niega dos veces
7 letras
#Juegodepalabras #adivinanzas #crucigramas</v>
      </c>
      <c r="E389" s="17"/>
      <c r="F389" s="17">
        <f t="shared" si="29"/>
        <v>141</v>
      </c>
      <c r="G389" s="6">
        <v>984772</v>
      </c>
      <c r="H389" s="1">
        <v>308</v>
      </c>
      <c r="I389" s="2" t="s">
        <v>1022</v>
      </c>
      <c r="J389" s="2" t="s">
        <v>1022</v>
      </c>
      <c r="K389" s="2" t="s">
        <v>1023</v>
      </c>
      <c r="L389" s="2">
        <f t="shared" si="30"/>
        <v>7</v>
      </c>
      <c r="M389" s="2"/>
      <c r="N389" s="2" t="s">
        <v>3</v>
      </c>
      <c r="O389" s="1">
        <v>24</v>
      </c>
      <c r="P389" s="2"/>
      <c r="Q389" s="2"/>
      <c r="R389" s="2"/>
      <c r="S389" s="2" t="s">
        <v>1024</v>
      </c>
      <c r="U389" s="2" t="s">
        <v>740</v>
      </c>
    </row>
    <row r="390" spans="2:21" ht="89.25" x14ac:dyDescent="0.25">
      <c r="B390" s="12"/>
      <c r="C390" s="13" t="str">
        <f t="shared" si="27"/>
        <v>x</v>
      </c>
      <c r="D390" s="14" t="str">
        <f t="shared" si="28"/>
        <v>#Matete Nro 226
Interprete lo escrito la extremidad del animal
7 letras
#Juegodepalabras #adivinanzas #crucigramas</v>
      </c>
      <c r="E390" s="17"/>
      <c r="F390" s="17">
        <f t="shared" si="29"/>
        <v>115</v>
      </c>
      <c r="G390" s="6">
        <v>994838</v>
      </c>
      <c r="H390" s="1">
        <v>226</v>
      </c>
      <c r="I390" s="2" t="s">
        <v>769</v>
      </c>
      <c r="J390" s="2" t="s">
        <v>772</v>
      </c>
      <c r="K390" s="2" t="s">
        <v>770</v>
      </c>
      <c r="L390" s="2">
        <f t="shared" si="30"/>
        <v>7</v>
      </c>
      <c r="M390" s="2"/>
      <c r="N390" s="2" t="s">
        <v>3</v>
      </c>
      <c r="O390" s="1">
        <v>18</v>
      </c>
      <c r="P390" s="2"/>
      <c r="Q390" s="2"/>
      <c r="R390" s="2"/>
      <c r="S390" s="2" t="s">
        <v>771</v>
      </c>
      <c r="U390" s="2" t="s">
        <v>740</v>
      </c>
    </row>
    <row r="391" spans="2:21" ht="102" x14ac:dyDescent="0.25">
      <c r="B391" s="12"/>
      <c r="C391" s="13" t="str">
        <f t="shared" si="27"/>
        <v>x</v>
      </c>
      <c r="D391" s="14" t="str">
        <f t="shared" si="28"/>
        <v>#Matete Nro 180
Conjunción de la prueba y el nudo sobre el cuello de la camisa
10 letras
#Juegodepalabras #adivinanzas #crucigramas</v>
      </c>
      <c r="E391" s="17"/>
      <c r="F391" s="17">
        <f t="shared" si="29"/>
        <v>132</v>
      </c>
      <c r="G391" s="6">
        <v>995301</v>
      </c>
      <c r="H391" s="1">
        <v>180</v>
      </c>
      <c r="I391" s="2" t="s">
        <v>621</v>
      </c>
      <c r="J391" s="2" t="s">
        <v>621</v>
      </c>
      <c r="K391" s="2" t="s">
        <v>622</v>
      </c>
      <c r="L391" s="2">
        <f t="shared" si="30"/>
        <v>10</v>
      </c>
      <c r="M391" s="2"/>
      <c r="N391" s="2" t="s">
        <v>83</v>
      </c>
      <c r="O391" s="1">
        <v>15</v>
      </c>
      <c r="P391" s="2"/>
      <c r="Q391" s="2"/>
      <c r="R391" s="2"/>
      <c r="S391" s="2" t="s">
        <v>623</v>
      </c>
      <c r="U391" s="2" t="s">
        <v>7</v>
      </c>
    </row>
    <row r="392" spans="2:21" ht="76.5" x14ac:dyDescent="0.25">
      <c r="B392" s="15"/>
      <c r="C392" s="13" t="str">
        <f t="shared" si="27"/>
        <v>x</v>
      </c>
      <c r="D392" s="14" t="str">
        <f t="shared" si="28"/>
        <v>#Matete Nro 24
Plancha la última parte
8 letras
#Juegodepalabras #adivinanzas #crucigramas</v>
      </c>
      <c r="E392" s="17"/>
      <c r="F392" s="17">
        <f t="shared" si="29"/>
        <v>91</v>
      </c>
      <c r="G392" s="6">
        <v>996808</v>
      </c>
      <c r="H392" s="1">
        <v>24</v>
      </c>
      <c r="I392" s="2" t="s">
        <v>86</v>
      </c>
      <c r="J392" s="2" t="s">
        <v>90</v>
      </c>
      <c r="K392" s="2" t="s">
        <v>87</v>
      </c>
      <c r="L392" s="2">
        <f t="shared" si="30"/>
        <v>8</v>
      </c>
      <c r="M392" s="2" t="s">
        <v>2</v>
      </c>
      <c r="N392" s="2" t="s">
        <v>3</v>
      </c>
      <c r="O392" s="1">
        <v>2</v>
      </c>
      <c r="P392" s="2" t="s">
        <v>88</v>
      </c>
      <c r="Q392" s="2"/>
      <c r="R392" s="2"/>
      <c r="S392" s="2" t="s">
        <v>89</v>
      </c>
      <c r="U392" s="2" t="s">
        <v>7</v>
      </c>
    </row>
    <row r="393" spans="2:21" ht="76.5" x14ac:dyDescent="0.25">
      <c r="B393" s="12"/>
      <c r="C393" s="13" t="str">
        <f t="shared" si="27"/>
        <v>x</v>
      </c>
      <c r="D393" s="14" t="str">
        <f t="shared" si="28"/>
        <v>#Matete Nro 228
Perro risa de historieta
5 letras
#Juegodepalabras #adivinanzas #crucigramas</v>
      </c>
      <c r="E393" s="17"/>
      <c r="F393" s="17">
        <f t="shared" si="29"/>
        <v>93</v>
      </c>
      <c r="G393" s="6">
        <v>997007</v>
      </c>
      <c r="H393" s="1">
        <v>228</v>
      </c>
      <c r="I393" s="2" t="s">
        <v>777</v>
      </c>
      <c r="J393" s="2" t="s">
        <v>777</v>
      </c>
      <c r="K393" s="2" t="s">
        <v>778</v>
      </c>
      <c r="L393" s="2">
        <f t="shared" si="30"/>
        <v>5</v>
      </c>
      <c r="M393" s="2"/>
      <c r="N393" s="2" t="s">
        <v>3</v>
      </c>
      <c r="O393" s="1">
        <v>18</v>
      </c>
      <c r="P393" s="2"/>
      <c r="Q393" s="2"/>
      <c r="R393" s="2"/>
      <c r="S393" s="2" t="s">
        <v>779</v>
      </c>
      <c r="U393" s="2" t="s">
        <v>740</v>
      </c>
    </row>
    <row r="394" spans="2:21" ht="76.5" x14ac:dyDescent="0.25">
      <c r="B394" s="12"/>
      <c r="C394" s="13" t="str">
        <f t="shared" si="27"/>
        <v>x</v>
      </c>
      <c r="D394" s="14" t="str">
        <f t="shared" si="28"/>
        <v>#Matete Nro 254
Ingreso en la Q
9 letras
#Juegodepalabras #adivinanzas #crucigramas</v>
      </c>
      <c r="E394" s="17"/>
      <c r="F394" s="17">
        <f t="shared" si="29"/>
        <v>84</v>
      </c>
      <c r="G394" s="6">
        <v>997358</v>
      </c>
      <c r="H394" s="1">
        <v>254</v>
      </c>
      <c r="I394" s="2" t="s">
        <v>850</v>
      </c>
      <c r="J394" s="2" t="s">
        <v>850</v>
      </c>
      <c r="K394" s="2" t="s">
        <v>851</v>
      </c>
      <c r="L394" s="2">
        <f t="shared" si="30"/>
        <v>9</v>
      </c>
      <c r="M394" s="2"/>
      <c r="N394" s="2" t="s">
        <v>83</v>
      </c>
      <c r="O394" s="1">
        <v>20</v>
      </c>
      <c r="P394" s="2"/>
      <c r="Q394" s="2"/>
      <c r="R394" s="2"/>
      <c r="S394" s="2" t="s">
        <v>852</v>
      </c>
      <c r="U394" s="2" t="s">
        <v>740</v>
      </c>
    </row>
    <row r="395" spans="2:21" ht="89.25" x14ac:dyDescent="0.25">
      <c r="B395" s="12"/>
      <c r="C395" s="13" t="str">
        <f t="shared" si="27"/>
        <v>x</v>
      </c>
      <c r="D395" s="14" t="str">
        <f t="shared" si="28"/>
        <v>#Matete Nro 181
Dice puerta en inglés para que otro la escriba
8 letras
#Juegodepalabras #adivinanzas #crucigramas</v>
      </c>
      <c r="E395" s="17"/>
      <c r="F395" s="17">
        <f t="shared" si="29"/>
        <v>115</v>
      </c>
      <c r="G395" s="6">
        <v>998447</v>
      </c>
      <c r="H395" s="1">
        <v>181</v>
      </c>
      <c r="I395" s="2" t="s">
        <v>624</v>
      </c>
      <c r="J395" s="2" t="s">
        <v>624</v>
      </c>
      <c r="K395" s="2" t="s">
        <v>625</v>
      </c>
      <c r="L395" s="2">
        <f t="shared" si="30"/>
        <v>8</v>
      </c>
      <c r="M395" s="2"/>
      <c r="N395" s="2" t="s">
        <v>195</v>
      </c>
      <c r="O395" s="1">
        <v>16</v>
      </c>
      <c r="P395" s="2"/>
      <c r="Q395" s="2"/>
      <c r="R395" s="2"/>
      <c r="S395" s="2" t="s">
        <v>626</v>
      </c>
      <c r="U395" s="2" t="s">
        <v>7</v>
      </c>
    </row>
    <row r="396" spans="2:21" ht="76.5" x14ac:dyDescent="0.25">
      <c r="B396" s="15">
        <v>44992</v>
      </c>
      <c r="C396" s="13">
        <f t="shared" si="27"/>
        <v>3</v>
      </c>
      <c r="D396" s="14" t="str">
        <f t="shared" si="28"/>
        <v>#Matete Nro 129
Grupo de cantantes del éter
8 letras
#Juegodepalabras #adivinanzas #crucigramas</v>
      </c>
      <c r="E396" s="17"/>
      <c r="F396" s="17">
        <f t="shared" si="29"/>
        <v>96</v>
      </c>
      <c r="G396" s="6">
        <v>999811</v>
      </c>
      <c r="H396" s="1">
        <v>129</v>
      </c>
      <c r="I396" s="2" t="s">
        <v>457</v>
      </c>
      <c r="J396" s="2" t="s">
        <v>460</v>
      </c>
      <c r="K396" s="2" t="s">
        <v>458</v>
      </c>
      <c r="L396" s="2">
        <f t="shared" si="30"/>
        <v>8</v>
      </c>
      <c r="M396" s="2" t="s">
        <v>349</v>
      </c>
      <c r="N396" s="2" t="s">
        <v>3</v>
      </c>
      <c r="O396" s="1">
        <v>13</v>
      </c>
      <c r="P396" s="2"/>
      <c r="Q396" s="2"/>
      <c r="R396" s="2"/>
      <c r="S396" s="2" t="s">
        <v>459</v>
      </c>
      <c r="U396" s="2" t="s">
        <v>7</v>
      </c>
    </row>
    <row r="397" spans="2:21" ht="89.25" x14ac:dyDescent="0.25">
      <c r="B397" s="12"/>
      <c r="C397" s="13" t="str">
        <f t="shared" si="27"/>
        <v>x</v>
      </c>
      <c r="D397" s="14" t="str">
        <f t="shared" si="28"/>
        <v>#Matete Nro 109
Solía ser una de las doce partes del año
6 letras
#Juegodepalabras #adivinanzas #crucigramas</v>
      </c>
      <c r="E397" s="17"/>
      <c r="F397" s="17">
        <f t="shared" si="29"/>
        <v>109</v>
      </c>
      <c r="G397" s="6">
        <v>1001164</v>
      </c>
      <c r="H397" s="1">
        <v>109</v>
      </c>
      <c r="I397" s="2" t="s">
        <v>387</v>
      </c>
      <c r="J397" s="2" t="s">
        <v>387</v>
      </c>
      <c r="K397" s="2" t="s">
        <v>388</v>
      </c>
      <c r="L397" s="2">
        <f t="shared" si="30"/>
        <v>6</v>
      </c>
      <c r="M397" s="2"/>
      <c r="N397" s="2" t="s">
        <v>3</v>
      </c>
      <c r="O397" s="1">
        <v>11</v>
      </c>
      <c r="P397" s="2" t="s">
        <v>389</v>
      </c>
      <c r="Q397" s="2"/>
      <c r="R397" s="2"/>
      <c r="S397" s="2" t="s">
        <v>390</v>
      </c>
      <c r="U397" s="2" t="s">
        <v>7</v>
      </c>
    </row>
    <row r="398" spans="2:21" ht="89.25" x14ac:dyDescent="0.25">
      <c r="B398" s="12"/>
      <c r="C398" s="13" t="str">
        <f t="shared" si="27"/>
        <v>x</v>
      </c>
      <c r="D398" s="14" t="str">
        <f t="shared" si="28"/>
        <v>#Matete Nro 452
Forma de nombrar 24 horas que sobran
8 letras
#Juegodepalabras #adivinanzas #crucigramas</v>
      </c>
      <c r="E398" s="17"/>
      <c r="F398" s="17">
        <f t="shared" si="29"/>
        <v>105</v>
      </c>
      <c r="G398" s="6">
        <v>1001829</v>
      </c>
      <c r="H398" s="1">
        <v>452</v>
      </c>
      <c r="I398" s="2" t="s">
        <v>1304</v>
      </c>
      <c r="J398" s="2" t="s">
        <v>1307</v>
      </c>
      <c r="K398" s="2" t="s">
        <v>1305</v>
      </c>
      <c r="L398" s="2">
        <f t="shared" si="30"/>
        <v>8</v>
      </c>
      <c r="M398" s="2" t="s">
        <v>1298</v>
      </c>
      <c r="N398" s="2" t="s">
        <v>83</v>
      </c>
      <c r="O398" s="1">
        <v>31</v>
      </c>
      <c r="P398" s="2"/>
      <c r="Q398" s="2"/>
      <c r="R398" s="2"/>
      <c r="S398" s="2" t="s">
        <v>1306</v>
      </c>
      <c r="U398" s="2" t="s">
        <v>740</v>
      </c>
    </row>
    <row r="399" spans="2:21" ht="89.25" x14ac:dyDescent="0.25">
      <c r="B399" s="12"/>
      <c r="C399" s="13" t="str">
        <f t="shared" si="27"/>
        <v>x</v>
      </c>
      <c r="D399" s="14" t="str">
        <f t="shared" si="28"/>
        <v>#Matete Nro 186
Madre que requiere tres sillas para sentarse
9 letras
#Juegodepalabras #adivinanzas #crucigramas</v>
      </c>
      <c r="E399" s="17"/>
      <c r="F399" s="17">
        <f t="shared" si="29"/>
        <v>113</v>
      </c>
      <c r="G399" s="6">
        <v>1006104</v>
      </c>
      <c r="H399" s="1">
        <v>186</v>
      </c>
      <c r="I399" s="2" t="s">
        <v>641</v>
      </c>
      <c r="J399" s="2" t="s">
        <v>644</v>
      </c>
      <c r="K399" s="2" t="s">
        <v>642</v>
      </c>
      <c r="L399" s="2">
        <f t="shared" si="30"/>
        <v>9</v>
      </c>
      <c r="M399" s="2" t="s">
        <v>349</v>
      </c>
      <c r="N399" s="2" t="s">
        <v>83</v>
      </c>
      <c r="O399" s="1">
        <v>16</v>
      </c>
      <c r="P399" s="2"/>
      <c r="Q399" s="2"/>
      <c r="R399" s="2"/>
      <c r="S399" s="2" t="s">
        <v>643</v>
      </c>
      <c r="U399" s="2" t="s">
        <v>7</v>
      </c>
    </row>
    <row r="400" spans="2:21" ht="102" x14ac:dyDescent="0.25">
      <c r="B400" s="12"/>
      <c r="C400" s="13" t="str">
        <f t="shared" si="27"/>
        <v>x</v>
      </c>
      <c r="D400" s="14" t="str">
        <f t="shared" si="28"/>
        <v>#Matete Nro 188
La contracción involuntaria del diafragma se hacía más grande
10 letras
#Juegodepalabras #adivinanzas #crucigramas</v>
      </c>
      <c r="E400" s="17"/>
      <c r="F400" s="17">
        <f t="shared" si="29"/>
        <v>131</v>
      </c>
      <c r="G400" s="6">
        <v>1008712</v>
      </c>
      <c r="H400" s="1">
        <v>188</v>
      </c>
      <c r="I400" s="2" t="s">
        <v>648</v>
      </c>
      <c r="J400" s="2" t="s">
        <v>652</v>
      </c>
      <c r="K400" s="2" t="s">
        <v>649</v>
      </c>
      <c r="L400" s="2">
        <f t="shared" si="30"/>
        <v>10</v>
      </c>
      <c r="M400" s="2" t="s">
        <v>360</v>
      </c>
      <c r="N400" s="2" t="s">
        <v>3</v>
      </c>
      <c r="O400" s="1">
        <v>16</v>
      </c>
      <c r="P400" s="2" t="s">
        <v>650</v>
      </c>
      <c r="Q400" s="2"/>
      <c r="R400" s="2"/>
      <c r="S400" s="2" t="s">
        <v>651</v>
      </c>
      <c r="U400" s="2" t="s">
        <v>7</v>
      </c>
    </row>
    <row r="401" spans="2:21" ht="89.25" x14ac:dyDescent="0.25">
      <c r="B401" s="12"/>
      <c r="C401" s="13" t="str">
        <f t="shared" si="27"/>
        <v>x</v>
      </c>
      <c r="D401" s="14" t="str">
        <f t="shared" si="28"/>
        <v>#Matete Nro 464
Dice un pollo acompañado por otro
5 letras
#Juegodepalabras #adivinanzas #crucigramas</v>
      </c>
      <c r="E401" s="17"/>
      <c r="F401" s="17">
        <f t="shared" si="29"/>
        <v>102</v>
      </c>
      <c r="G401" s="6">
        <v>1014127</v>
      </c>
      <c r="H401" s="1">
        <v>464</v>
      </c>
      <c r="I401" s="2" t="s">
        <v>1326</v>
      </c>
      <c r="J401" s="2" t="s">
        <v>1326</v>
      </c>
      <c r="K401" s="2" t="s">
        <v>1327</v>
      </c>
      <c r="L401" s="2">
        <f t="shared" si="30"/>
        <v>5</v>
      </c>
      <c r="M401" s="2"/>
      <c r="N401" s="2" t="s">
        <v>3</v>
      </c>
      <c r="O401" s="1">
        <v>31</v>
      </c>
      <c r="P401" s="2"/>
      <c r="Q401" s="2"/>
      <c r="R401" s="2"/>
      <c r="S401" s="2" t="s">
        <v>1328</v>
      </c>
      <c r="U401" s="2" t="s">
        <v>740</v>
      </c>
    </row>
    <row r="402" spans="2:21" ht="89.25" x14ac:dyDescent="0.25">
      <c r="B402" s="12"/>
      <c r="C402" s="13" t="str">
        <f t="shared" si="27"/>
        <v>x</v>
      </c>
      <c r="D402" s="14" t="str">
        <f t="shared" si="28"/>
        <v>#Matete Nro 56
Tomé la medida del amarillo oscuro
8 letras
#Juegodepalabras #adivinanzas #crucigramas</v>
      </c>
      <c r="E402" s="17"/>
      <c r="F402" s="17">
        <f t="shared" si="29"/>
        <v>102</v>
      </c>
      <c r="G402" s="6">
        <v>1020414</v>
      </c>
      <c r="H402" s="1">
        <v>56</v>
      </c>
      <c r="I402" s="2" t="s">
        <v>197</v>
      </c>
      <c r="J402" s="2" t="s">
        <v>197</v>
      </c>
      <c r="K402" s="2" t="s">
        <v>198</v>
      </c>
      <c r="L402" s="2">
        <f t="shared" si="30"/>
        <v>8</v>
      </c>
      <c r="M402" s="2" t="s">
        <v>2</v>
      </c>
      <c r="N402" s="2" t="s">
        <v>3</v>
      </c>
      <c r="O402" s="1">
        <v>6</v>
      </c>
      <c r="P402" s="2" t="s">
        <v>199</v>
      </c>
      <c r="Q402" s="2"/>
      <c r="R402" s="2"/>
      <c r="S402" s="2" t="s">
        <v>200</v>
      </c>
      <c r="U402" s="2" t="s">
        <v>7</v>
      </c>
    </row>
    <row r="403" spans="2:21" ht="76.5" x14ac:dyDescent="0.25">
      <c r="B403" s="12"/>
      <c r="C403" s="13" t="str">
        <f t="shared" si="27"/>
        <v>x</v>
      </c>
      <c r="D403" s="14" t="str">
        <f t="shared" si="28"/>
        <v>#Matete Nro 219
Quítate, usted abreviado
5 letras
#Juegodepalabras #adivinanzas #crucigramas</v>
      </c>
      <c r="E403" s="17"/>
      <c r="F403" s="17">
        <f t="shared" si="29"/>
        <v>93</v>
      </c>
      <c r="G403" s="6">
        <v>1021553</v>
      </c>
      <c r="H403" s="1">
        <v>219</v>
      </c>
      <c r="I403" s="2" t="s">
        <v>745</v>
      </c>
      <c r="J403" s="2" t="s">
        <v>745</v>
      </c>
      <c r="K403" s="2" t="s">
        <v>746</v>
      </c>
      <c r="L403" s="2">
        <f t="shared" si="30"/>
        <v>5</v>
      </c>
      <c r="M403" s="2"/>
      <c r="N403" s="2" t="s">
        <v>3</v>
      </c>
      <c r="O403" s="1">
        <v>18</v>
      </c>
      <c r="P403" s="2"/>
      <c r="Q403" s="2"/>
      <c r="R403" s="2"/>
      <c r="S403" s="2" t="s">
        <v>747</v>
      </c>
      <c r="U403" s="2" t="s">
        <v>740</v>
      </c>
    </row>
    <row r="404" spans="2:21" ht="76.5" x14ac:dyDescent="0.25">
      <c r="B404" s="12"/>
      <c r="C404" s="13" t="str">
        <f t="shared" si="27"/>
        <v>x</v>
      </c>
      <c r="D404" s="14" t="str">
        <f t="shared" si="28"/>
        <v>#Matete Nro 538
Prueba del fruto de la higuera
7 letras
#Juegodepalabras #adivinanzas #crucigramas</v>
      </c>
      <c r="E404" s="17"/>
      <c r="F404" s="17">
        <f t="shared" si="29"/>
        <v>99</v>
      </c>
      <c r="G404" s="6">
        <v>1022532</v>
      </c>
      <c r="H404" s="1">
        <v>538</v>
      </c>
      <c r="I404" s="2" t="s">
        <v>1432</v>
      </c>
      <c r="J404" s="2" t="s">
        <v>1432</v>
      </c>
      <c r="K404" s="2" t="s">
        <v>1433</v>
      </c>
      <c r="L404" s="2">
        <f t="shared" si="30"/>
        <v>7</v>
      </c>
      <c r="M404" s="2"/>
      <c r="N404" s="2" t="s">
        <v>3</v>
      </c>
      <c r="O404" s="1">
        <v>33</v>
      </c>
      <c r="P404" s="2"/>
      <c r="Q404" s="2"/>
      <c r="R404" s="2"/>
      <c r="S404" s="2" t="s">
        <v>1434</v>
      </c>
      <c r="U404" s="2" t="s">
        <v>1423</v>
      </c>
    </row>
    <row r="405" spans="2:21" ht="102" x14ac:dyDescent="0.25">
      <c r="B405" s="15"/>
      <c r="C405" s="13" t="str">
        <f t="shared" si="27"/>
        <v>x</v>
      </c>
      <c r="D405" s="14" t="str">
        <f t="shared" si="28"/>
        <v>#Matete Nro 13
Forma en que la herramienta de la muerte es llamada por su sobrino
6 letras
#Juegodepalabras #adivinanzas #crucigramas</v>
      </c>
      <c r="E405" s="17"/>
      <c r="F405" s="17">
        <f t="shared" si="29"/>
        <v>134</v>
      </c>
      <c r="G405" s="6">
        <v>1023357</v>
      </c>
      <c r="H405" s="1">
        <v>13</v>
      </c>
      <c r="I405" s="2" t="s">
        <v>50</v>
      </c>
      <c r="J405" s="2" t="s">
        <v>50</v>
      </c>
      <c r="K405" s="2" t="s">
        <v>51</v>
      </c>
      <c r="L405" s="2">
        <f t="shared" si="30"/>
        <v>6</v>
      </c>
      <c r="M405" s="2" t="s">
        <v>2</v>
      </c>
      <c r="N405" s="2" t="s">
        <v>3</v>
      </c>
      <c r="O405" s="1">
        <v>2</v>
      </c>
      <c r="P405" s="2" t="s">
        <v>52</v>
      </c>
      <c r="Q405" s="2"/>
      <c r="R405" s="2"/>
      <c r="S405" s="2" t="s">
        <v>53</v>
      </c>
      <c r="U405" s="2" t="s">
        <v>7</v>
      </c>
    </row>
    <row r="406" spans="2:21" ht="76.5" x14ac:dyDescent="0.25">
      <c r="B406" s="12"/>
      <c r="C406" s="13" t="str">
        <f t="shared" si="27"/>
        <v>x</v>
      </c>
      <c r="D406" s="14" t="str">
        <f t="shared" si="28"/>
        <v>#Matete Nro 236
Elevar el querer en un mástil
8 letras
#Juegodepalabras #adivinanzas #crucigramas</v>
      </c>
      <c r="E406" s="17"/>
      <c r="F406" s="17">
        <f t="shared" si="29"/>
        <v>98</v>
      </c>
      <c r="G406" s="6">
        <v>1024400</v>
      </c>
      <c r="H406" s="1">
        <v>236</v>
      </c>
      <c r="I406" s="2" t="s">
        <v>801</v>
      </c>
      <c r="J406" s="2" t="s">
        <v>801</v>
      </c>
      <c r="K406" s="2" t="s">
        <v>802</v>
      </c>
      <c r="L406" s="2">
        <f t="shared" si="30"/>
        <v>8</v>
      </c>
      <c r="M406" s="2"/>
      <c r="N406" s="2" t="s">
        <v>3</v>
      </c>
      <c r="O406" s="1">
        <v>19</v>
      </c>
      <c r="P406" s="2"/>
      <c r="Q406" s="2"/>
      <c r="R406" s="2"/>
      <c r="S406" s="2" t="s">
        <v>803</v>
      </c>
      <c r="U406" s="2" t="s">
        <v>740</v>
      </c>
    </row>
    <row r="407" spans="2:21" ht="76.5" x14ac:dyDescent="0.25">
      <c r="B407" s="12"/>
      <c r="C407" s="13" t="str">
        <f t="shared" si="27"/>
        <v>x</v>
      </c>
      <c r="D407" s="14" t="str">
        <f t="shared" si="28"/>
        <v>#Matete Nro 284
Última vaca del abecedario
6 letras
#Juegodepalabras #adivinanzas #crucigramas</v>
      </c>
      <c r="E407" s="17"/>
      <c r="F407" s="17">
        <f t="shared" si="29"/>
        <v>95</v>
      </c>
      <c r="G407" s="6">
        <v>1024783</v>
      </c>
      <c r="H407" s="1">
        <v>284</v>
      </c>
      <c r="I407" s="2" t="s">
        <v>944</v>
      </c>
      <c r="J407" s="2" t="s">
        <v>944</v>
      </c>
      <c r="K407" s="2" t="s">
        <v>945</v>
      </c>
      <c r="L407" s="2">
        <f t="shared" si="30"/>
        <v>6</v>
      </c>
      <c r="M407" s="2"/>
      <c r="N407" s="2" t="s">
        <v>76</v>
      </c>
      <c r="O407" s="1">
        <v>22</v>
      </c>
      <c r="P407" s="2" t="s">
        <v>946</v>
      </c>
      <c r="Q407" s="2"/>
      <c r="R407" s="2"/>
      <c r="S407" s="2" t="s">
        <v>947</v>
      </c>
      <c r="U407" s="2" t="s">
        <v>740</v>
      </c>
    </row>
    <row r="408" spans="2:21" ht="89.25" x14ac:dyDescent="0.25">
      <c r="B408" s="12"/>
      <c r="C408" s="13" t="str">
        <f t="shared" si="27"/>
        <v>x</v>
      </c>
      <c r="D408" s="14" t="str">
        <f t="shared" si="28"/>
        <v>#Matete Nro 105
Comparativamente poca soga de barco
9 letras
#Juegodepalabras #adivinanzas #crucigramas</v>
      </c>
      <c r="E408" s="17"/>
      <c r="F408" s="17">
        <f t="shared" si="29"/>
        <v>104</v>
      </c>
      <c r="G408" s="6">
        <v>1028863</v>
      </c>
      <c r="H408" s="1">
        <v>105</v>
      </c>
      <c r="I408" s="2" t="s">
        <v>376</v>
      </c>
      <c r="J408" s="2" t="s">
        <v>380</v>
      </c>
      <c r="K408" s="2" t="s">
        <v>377</v>
      </c>
      <c r="L408" s="2">
        <f t="shared" si="30"/>
        <v>9</v>
      </c>
      <c r="M408" s="2" t="s">
        <v>68</v>
      </c>
      <c r="N408" s="2" t="s">
        <v>3</v>
      </c>
      <c r="O408" s="1">
        <v>10</v>
      </c>
      <c r="P408" s="2" t="s">
        <v>378</v>
      </c>
      <c r="Q408" s="2"/>
      <c r="R408" s="2"/>
      <c r="S408" s="2" t="s">
        <v>379</v>
      </c>
      <c r="U408" s="2" t="s">
        <v>7</v>
      </c>
    </row>
    <row r="409" spans="2:21" ht="89.25" x14ac:dyDescent="0.25">
      <c r="B409" s="12"/>
      <c r="C409" s="13" t="str">
        <f t="shared" si="27"/>
        <v>x</v>
      </c>
      <c r="D409" s="14" t="str">
        <f t="shared" si="28"/>
        <v>#Matete Nro 245
Sonido que emite el pato deteriorado
7 letras
#Juegodepalabras #adivinanzas #crucigramas</v>
      </c>
      <c r="E409" s="17"/>
      <c r="F409" s="17">
        <f t="shared" si="29"/>
        <v>105</v>
      </c>
      <c r="G409" s="6">
        <v>1030635</v>
      </c>
      <c r="H409" s="1">
        <v>245</v>
      </c>
      <c r="I409" s="2" t="s">
        <v>818</v>
      </c>
      <c r="J409" s="2" t="s">
        <v>821</v>
      </c>
      <c r="K409" s="2" t="s">
        <v>819</v>
      </c>
      <c r="L409" s="2">
        <f t="shared" si="30"/>
        <v>7</v>
      </c>
      <c r="M409" s="2"/>
      <c r="N409" s="2" t="s">
        <v>76</v>
      </c>
      <c r="O409" s="1">
        <v>20</v>
      </c>
      <c r="P409" s="2"/>
      <c r="Q409" s="2"/>
      <c r="R409" s="2"/>
      <c r="S409" s="2" t="s">
        <v>820</v>
      </c>
      <c r="U409" s="2" t="s">
        <v>740</v>
      </c>
    </row>
    <row r="410" spans="2:21" ht="76.5" x14ac:dyDescent="0.25">
      <c r="B410" s="12"/>
      <c r="C410" s="13" t="str">
        <f t="shared" si="27"/>
        <v>x</v>
      </c>
      <c r="D410" s="14" t="str">
        <f t="shared" si="28"/>
        <v>#Matete Nro 249
Solicita varias Q
7 letras
#Juegodepalabras #adivinanzas #crucigramas</v>
      </c>
      <c r="E410" s="17"/>
      <c r="F410" s="17">
        <f t="shared" si="29"/>
        <v>86</v>
      </c>
      <c r="G410" s="6">
        <v>1031382</v>
      </c>
      <c r="H410" s="1">
        <v>249</v>
      </c>
      <c r="I410" s="2" t="s">
        <v>832</v>
      </c>
      <c r="J410" s="2" t="s">
        <v>835</v>
      </c>
      <c r="K410" s="2" t="s">
        <v>833</v>
      </c>
      <c r="L410" s="2">
        <f t="shared" si="30"/>
        <v>7</v>
      </c>
      <c r="M410" s="2"/>
      <c r="N410" s="2" t="s">
        <v>3</v>
      </c>
      <c r="O410" s="1">
        <v>20</v>
      </c>
      <c r="P410" s="2"/>
      <c r="Q410" s="2"/>
      <c r="R410" s="2"/>
      <c r="S410" s="2" t="s">
        <v>834</v>
      </c>
      <c r="U410" s="2" t="s">
        <v>740</v>
      </c>
    </row>
    <row r="411" spans="2:21" ht="76.5" x14ac:dyDescent="0.25">
      <c r="B411" s="12"/>
      <c r="C411" s="13" t="str">
        <f t="shared" si="27"/>
        <v>x</v>
      </c>
      <c r="D411" s="14" t="str">
        <f t="shared" si="28"/>
        <v>#Matete Nro 72
El pan que es más que un gato
7 letras
#Juegodepalabras #adivinanzas #crucigramas</v>
      </c>
      <c r="E411" s="17"/>
      <c r="F411" s="17">
        <f t="shared" si="29"/>
        <v>97</v>
      </c>
      <c r="G411" s="6">
        <v>1031610</v>
      </c>
      <c r="H411" s="1">
        <v>72</v>
      </c>
      <c r="I411" s="2" t="s">
        <v>254</v>
      </c>
      <c r="J411" s="2" t="s">
        <v>254</v>
      </c>
      <c r="K411" s="2" t="s">
        <v>255</v>
      </c>
      <c r="L411" s="2">
        <f t="shared" si="30"/>
        <v>7</v>
      </c>
      <c r="M411" s="2" t="s">
        <v>39</v>
      </c>
      <c r="N411" s="2" t="s">
        <v>256</v>
      </c>
      <c r="O411" s="1">
        <v>7</v>
      </c>
      <c r="P411" s="2"/>
      <c r="Q411" s="2"/>
      <c r="R411" s="2"/>
      <c r="S411" s="2" t="s">
        <v>257</v>
      </c>
      <c r="U411" s="2" t="s">
        <v>7</v>
      </c>
    </row>
    <row r="412" spans="2:21" ht="89.25" x14ac:dyDescent="0.25">
      <c r="B412" s="12"/>
      <c r="C412" s="13" t="str">
        <f t="shared" si="27"/>
        <v>x</v>
      </c>
      <c r="D412" s="14" t="str">
        <f t="shared" si="28"/>
        <v>#Matete Nro 169
Me desplacé rápidamente en una tetera con saquito
9 letras
#Juegodepalabras #adivinanzas #crucigramas</v>
      </c>
      <c r="E412" s="17"/>
      <c r="F412" s="17">
        <f t="shared" si="29"/>
        <v>118</v>
      </c>
      <c r="G412" s="6">
        <v>1031690</v>
      </c>
      <c r="H412" s="1">
        <v>169</v>
      </c>
      <c r="I412" s="2" t="s">
        <v>586</v>
      </c>
      <c r="J412" s="2" t="s">
        <v>586</v>
      </c>
      <c r="K412" s="2" t="s">
        <v>587</v>
      </c>
      <c r="L412" s="2">
        <f t="shared" si="30"/>
        <v>9</v>
      </c>
      <c r="M412" s="2"/>
      <c r="N412" s="2" t="s">
        <v>83</v>
      </c>
      <c r="O412" s="1">
        <v>15</v>
      </c>
      <c r="P412" s="2"/>
      <c r="Q412" s="2"/>
      <c r="R412" s="2"/>
      <c r="S412" s="2" t="s">
        <v>588</v>
      </c>
      <c r="U412" s="2" t="s">
        <v>7</v>
      </c>
    </row>
    <row r="413" spans="2:21" ht="76.5" x14ac:dyDescent="0.25">
      <c r="B413" s="12"/>
      <c r="C413" s="13" t="str">
        <f t="shared" si="27"/>
        <v>x</v>
      </c>
      <c r="D413" s="14" t="str">
        <f t="shared" si="28"/>
        <v>#Matete Nro 125
Despuntar del día inhumano
8 letras
#Juegodepalabras #adivinanzas #crucigramas</v>
      </c>
      <c r="E413" s="17"/>
      <c r="F413" s="17">
        <f t="shared" si="29"/>
        <v>95</v>
      </c>
      <c r="G413" s="6">
        <v>1034799</v>
      </c>
      <c r="H413" s="1">
        <v>125</v>
      </c>
      <c r="I413" s="2" t="s">
        <v>444</v>
      </c>
      <c r="J413" s="2" t="s">
        <v>444</v>
      </c>
      <c r="K413" s="2" t="s">
        <v>445</v>
      </c>
      <c r="L413" s="2">
        <f t="shared" si="30"/>
        <v>8</v>
      </c>
      <c r="M413" s="2" t="s">
        <v>349</v>
      </c>
      <c r="N413" s="2" t="s">
        <v>76</v>
      </c>
      <c r="O413" s="1">
        <v>12</v>
      </c>
      <c r="P413" s="2"/>
      <c r="Q413" s="2"/>
      <c r="R413" s="2"/>
      <c r="S413" s="2" t="s">
        <v>446</v>
      </c>
      <c r="U413" s="2" t="s">
        <v>7</v>
      </c>
    </row>
    <row r="414" spans="2:21" ht="76.5" x14ac:dyDescent="0.25">
      <c r="B414" s="12"/>
      <c r="C414" s="13" t="str">
        <f t="shared" si="27"/>
        <v>x</v>
      </c>
      <c r="D414" s="14" t="str">
        <f t="shared" si="28"/>
        <v>#Matete Nro 95
Pequeña montaña budista
8 letras
#Juegodepalabras #adivinanzas #crucigramas</v>
      </c>
      <c r="E414" s="17"/>
      <c r="F414" s="17">
        <f t="shared" si="29"/>
        <v>91</v>
      </c>
      <c r="G414" s="6">
        <v>1042532</v>
      </c>
      <c r="H414" s="1">
        <v>95</v>
      </c>
      <c r="I414" s="2" t="s">
        <v>336</v>
      </c>
      <c r="J414" s="2" t="s">
        <v>336</v>
      </c>
      <c r="K414" s="2" t="s">
        <v>337</v>
      </c>
      <c r="L414" s="2">
        <f t="shared" si="30"/>
        <v>8</v>
      </c>
      <c r="M414" s="2"/>
      <c r="N414" s="2" t="s">
        <v>3</v>
      </c>
      <c r="O414" s="1">
        <v>9</v>
      </c>
      <c r="P414" s="2" t="s">
        <v>338</v>
      </c>
      <c r="Q414" s="2"/>
      <c r="R414" s="2"/>
      <c r="S414" s="2" t="s">
        <v>339</v>
      </c>
      <c r="U414" s="2" t="s">
        <v>7</v>
      </c>
    </row>
    <row r="415" spans="2:21" ht="76.5" x14ac:dyDescent="0.25">
      <c r="B415" s="12"/>
      <c r="C415" s="13" t="str">
        <f t="shared" si="27"/>
        <v>x</v>
      </c>
      <c r="D415" s="14" t="str">
        <f t="shared" si="28"/>
        <v>#Matete Nro 51
Tiene amor por la colcha
8 letras
#Juegodepalabras #adivinanzas #crucigramas</v>
      </c>
      <c r="E415" s="17"/>
      <c r="F415" s="17">
        <f t="shared" si="29"/>
        <v>92</v>
      </c>
      <c r="G415" s="6">
        <v>1043252</v>
      </c>
      <c r="H415" s="1">
        <v>51</v>
      </c>
      <c r="I415" s="2" t="s">
        <v>181</v>
      </c>
      <c r="J415" s="2" t="s">
        <v>181</v>
      </c>
      <c r="K415" s="2" t="s">
        <v>182</v>
      </c>
      <c r="L415" s="2">
        <f t="shared" si="30"/>
        <v>8</v>
      </c>
      <c r="M415" s="2" t="s">
        <v>2</v>
      </c>
      <c r="N415" s="2" t="s">
        <v>3</v>
      </c>
      <c r="O415" s="1">
        <v>5</v>
      </c>
      <c r="P415" s="2"/>
      <c r="Q415" s="2"/>
      <c r="R415" s="2"/>
      <c r="S415" s="2" t="s">
        <v>183</v>
      </c>
      <c r="U415" s="2" t="s">
        <v>7</v>
      </c>
    </row>
    <row r="416" spans="2:21" ht="76.5" x14ac:dyDescent="0.25">
      <c r="B416" s="12"/>
      <c r="C416" s="13" t="str">
        <f t="shared" si="27"/>
        <v>x</v>
      </c>
      <c r="D416" s="14" t="str">
        <f t="shared" si="28"/>
        <v>#Matete Nro 246
La q emite un quejido
8 letras
#Juegodepalabras #adivinanzas #crucigramas</v>
      </c>
      <c r="E416" s="17"/>
      <c r="F416" s="17">
        <f t="shared" si="29"/>
        <v>90</v>
      </c>
      <c r="G416" s="6">
        <v>1043699</v>
      </c>
      <c r="H416" s="1">
        <v>246</v>
      </c>
      <c r="I416" s="2" t="s">
        <v>822</v>
      </c>
      <c r="J416" s="2" t="s">
        <v>822</v>
      </c>
      <c r="K416" s="2" t="s">
        <v>823</v>
      </c>
      <c r="L416" s="2">
        <f t="shared" si="30"/>
        <v>8</v>
      </c>
      <c r="M416" s="2"/>
      <c r="N416" s="2" t="s">
        <v>3</v>
      </c>
      <c r="O416" s="1">
        <v>20</v>
      </c>
      <c r="P416" s="2" t="s">
        <v>824</v>
      </c>
      <c r="Q416" s="2"/>
      <c r="R416" s="2"/>
      <c r="S416" s="2" t="s">
        <v>825</v>
      </c>
      <c r="U416" s="2" t="s">
        <v>740</v>
      </c>
    </row>
    <row r="417" spans="2:21" ht="89.25" x14ac:dyDescent="0.25">
      <c r="B417" s="12"/>
      <c r="C417" s="13" t="str">
        <f t="shared" si="27"/>
        <v>x</v>
      </c>
      <c r="D417" s="14" t="str">
        <f t="shared" si="28"/>
        <v>#Matete Nro 434
Capacidad de ser contenido anticipadamente
8 letras
#Juegodepalabras #adivinanzas #crucigramas</v>
      </c>
      <c r="E417" s="17"/>
      <c r="F417" s="17">
        <f t="shared" si="29"/>
        <v>111</v>
      </c>
      <c r="G417" s="6">
        <v>1051169</v>
      </c>
      <c r="H417" s="1">
        <v>434</v>
      </c>
      <c r="I417" s="2" t="s">
        <v>1273</v>
      </c>
      <c r="J417" s="2" t="s">
        <v>1273</v>
      </c>
      <c r="K417" s="2" t="s">
        <v>1274</v>
      </c>
      <c r="L417" s="2">
        <f t="shared" si="30"/>
        <v>8</v>
      </c>
      <c r="M417" s="2" t="s">
        <v>68</v>
      </c>
      <c r="N417" s="2" t="s">
        <v>3</v>
      </c>
      <c r="O417" s="1">
        <v>30</v>
      </c>
      <c r="P417" s="2"/>
      <c r="Q417" s="2"/>
      <c r="R417" s="2"/>
      <c r="S417" s="2" t="s">
        <v>1275</v>
      </c>
      <c r="U417" s="2" t="s">
        <v>740</v>
      </c>
    </row>
    <row r="418" spans="2:21" ht="89.25" x14ac:dyDescent="0.25">
      <c r="B418" s="12"/>
      <c r="C418" s="13" t="str">
        <f t="shared" si="27"/>
        <v>x</v>
      </c>
      <c r="D418" s="14" t="str">
        <f t="shared" si="28"/>
        <v>#Matete Nro 300
En contra del recorte del jardinero
8 letras
#Juegodepalabras #adivinanzas #crucigramas</v>
      </c>
      <c r="E418" s="17"/>
      <c r="F418" s="17">
        <f t="shared" si="29"/>
        <v>104</v>
      </c>
      <c r="G418" s="6">
        <v>1051390</v>
      </c>
      <c r="H418" s="1">
        <v>300</v>
      </c>
      <c r="I418" s="2" t="s">
        <v>994</v>
      </c>
      <c r="J418" s="2" t="s">
        <v>997</v>
      </c>
      <c r="K418" s="2" t="s">
        <v>995</v>
      </c>
      <c r="L418" s="2">
        <f t="shared" si="30"/>
        <v>8</v>
      </c>
      <c r="M418" s="2" t="s">
        <v>360</v>
      </c>
      <c r="N418" s="2" t="s">
        <v>3</v>
      </c>
      <c r="O418" s="1">
        <v>23</v>
      </c>
      <c r="P418" s="2"/>
      <c r="Q418" s="2"/>
      <c r="R418" s="2"/>
      <c r="S418" s="2" t="s">
        <v>996</v>
      </c>
      <c r="U418" s="2" t="s">
        <v>740</v>
      </c>
    </row>
    <row r="419" spans="2:21" ht="89.25" x14ac:dyDescent="0.25">
      <c r="B419" s="12"/>
      <c r="C419" s="13" t="str">
        <f t="shared" si="27"/>
        <v>x</v>
      </c>
      <c r="D419" s="14" t="str">
        <f t="shared" si="28"/>
        <v>#Matete Nro 446
Hueso de las extremidades posteriores que da sueño
9 letras
#Juegodepalabras #adivinanzas #crucigramas</v>
      </c>
      <c r="E419" s="17"/>
      <c r="F419" s="17">
        <f t="shared" si="29"/>
        <v>119</v>
      </c>
      <c r="G419" s="6">
        <v>1052265</v>
      </c>
      <c r="H419" s="1">
        <v>446</v>
      </c>
      <c r="I419" s="2" t="s">
        <v>1292</v>
      </c>
      <c r="J419" s="2" t="s">
        <v>1295</v>
      </c>
      <c r="K419" s="2" t="s">
        <v>1293</v>
      </c>
      <c r="L419" s="2">
        <f t="shared" si="30"/>
        <v>9</v>
      </c>
      <c r="M419" s="2" t="s">
        <v>349</v>
      </c>
      <c r="N419" s="2" t="s">
        <v>3</v>
      </c>
      <c r="O419" s="1">
        <v>31</v>
      </c>
      <c r="P419" s="2"/>
      <c r="Q419" s="2"/>
      <c r="R419" s="2"/>
      <c r="S419" s="2" t="s">
        <v>1294</v>
      </c>
      <c r="U419" s="2" t="s">
        <v>740</v>
      </c>
    </row>
    <row r="420" spans="2:21" ht="89.25" x14ac:dyDescent="0.25">
      <c r="B420" s="12"/>
      <c r="C420" s="13" t="str">
        <f t="shared" si="27"/>
        <v>x</v>
      </c>
      <c r="D420" s="14" t="str">
        <f t="shared" si="28"/>
        <v>#Matete Nro 368
Arroja el lugar donde se tiran las cartas
9 letras
#Juegodepalabras #adivinanzas #crucigramas</v>
      </c>
      <c r="E420" s="17"/>
      <c r="F420" s="17">
        <f t="shared" si="29"/>
        <v>110</v>
      </c>
      <c r="G420" s="6">
        <v>1057954</v>
      </c>
      <c r="H420" s="1">
        <v>368</v>
      </c>
      <c r="I420" s="2" t="s">
        <v>1165</v>
      </c>
      <c r="J420" s="2" t="s">
        <v>1168</v>
      </c>
      <c r="K420" s="2" t="s">
        <v>1166</v>
      </c>
      <c r="L420" s="2">
        <f t="shared" si="30"/>
        <v>9</v>
      </c>
      <c r="M420" s="2"/>
      <c r="N420" s="2" t="s">
        <v>3</v>
      </c>
      <c r="O420" s="1">
        <v>29</v>
      </c>
      <c r="P420" s="2"/>
      <c r="Q420" s="2"/>
      <c r="R420" s="2"/>
      <c r="S420" s="2" t="s">
        <v>1167</v>
      </c>
      <c r="U420" s="2" t="s">
        <v>740</v>
      </c>
    </row>
    <row r="421" spans="2:21" ht="89.25" x14ac:dyDescent="0.25">
      <c r="B421" s="12"/>
      <c r="C421" s="13" t="str">
        <f t="shared" si="27"/>
        <v>x</v>
      </c>
      <c r="D421" s="14" t="str">
        <f t="shared" si="28"/>
        <v>#Matete Nro 366
El pollo niega al emitir su sonido
5 letras
#Juegodepalabras #adivinanzas #crucigramas</v>
      </c>
      <c r="E421" s="17"/>
      <c r="F421" s="17">
        <f t="shared" si="29"/>
        <v>103</v>
      </c>
      <c r="G421" s="6">
        <v>1061034</v>
      </c>
      <c r="H421" s="1">
        <v>366</v>
      </c>
      <c r="I421" s="2" t="s">
        <v>1162</v>
      </c>
      <c r="J421" s="2" t="s">
        <v>1162</v>
      </c>
      <c r="K421" s="2" t="s">
        <v>1163</v>
      </c>
      <c r="L421" s="2">
        <f t="shared" si="30"/>
        <v>5</v>
      </c>
      <c r="M421" s="2"/>
      <c r="N421" s="2" t="s">
        <v>3</v>
      </c>
      <c r="O421" s="1">
        <v>29</v>
      </c>
      <c r="P421" s="2"/>
      <c r="Q421" s="2"/>
      <c r="R421" s="2"/>
      <c r="S421" s="2" t="s">
        <v>1164</v>
      </c>
      <c r="U421" s="2" t="s">
        <v>740</v>
      </c>
    </row>
    <row r="422" spans="2:21" ht="76.5" x14ac:dyDescent="0.25">
      <c r="B422" s="12"/>
      <c r="C422" s="13" t="str">
        <f t="shared" si="27"/>
        <v>x</v>
      </c>
      <c r="D422" s="14" t="str">
        <f t="shared" si="28"/>
        <v>#Matete Nro 522
Cavará
8 letras
#Juegodepalabras #adivinanzas #crucigramas</v>
      </c>
      <c r="E422" s="17"/>
      <c r="F422" s="17">
        <f t="shared" si="29"/>
        <v>75</v>
      </c>
      <c r="G422" s="6">
        <v>1069941</v>
      </c>
      <c r="H422" s="1">
        <v>522</v>
      </c>
      <c r="I422" s="2" t="s">
        <v>1410</v>
      </c>
      <c r="J422" s="2" t="s">
        <v>1410</v>
      </c>
      <c r="K422" s="2" t="s">
        <v>1411</v>
      </c>
      <c r="L422" s="2">
        <f t="shared" si="30"/>
        <v>8</v>
      </c>
      <c r="M422" s="2"/>
      <c r="N422" s="2" t="s">
        <v>3</v>
      </c>
      <c r="O422" s="1">
        <v>33</v>
      </c>
      <c r="P422" s="2"/>
      <c r="Q422" s="2"/>
      <c r="R422" s="2"/>
      <c r="S422" s="2" t="s">
        <v>1412</v>
      </c>
      <c r="U422" s="2" t="s">
        <v>740</v>
      </c>
    </row>
    <row r="423" spans="2:21" ht="76.5" x14ac:dyDescent="0.25">
      <c r="B423" s="12"/>
      <c r="C423" s="13" t="str">
        <f t="shared" si="27"/>
        <v>x</v>
      </c>
      <c r="D423" s="14" t="str">
        <f t="shared" si="28"/>
        <v>#Matete Nro 46
Negar al otro porteño
5 letras
#Juegodepalabras #adivinanzas #crucigramas</v>
      </c>
      <c r="E423" s="17"/>
      <c r="F423" s="17">
        <f t="shared" si="29"/>
        <v>89</v>
      </c>
      <c r="G423" s="6">
        <v>1070116</v>
      </c>
      <c r="H423" s="1">
        <v>46</v>
      </c>
      <c r="I423" s="2" t="s">
        <v>167</v>
      </c>
      <c r="J423" s="2" t="s">
        <v>167</v>
      </c>
      <c r="K423" s="2" t="s">
        <v>168</v>
      </c>
      <c r="L423" s="2">
        <f t="shared" si="30"/>
        <v>5</v>
      </c>
      <c r="M423" s="2" t="s">
        <v>2</v>
      </c>
      <c r="N423" s="2" t="s">
        <v>3</v>
      </c>
      <c r="O423" s="1">
        <v>5</v>
      </c>
      <c r="P423" s="2"/>
      <c r="Q423" s="2"/>
      <c r="R423" s="2"/>
      <c r="S423" s="2" t="s">
        <v>169</v>
      </c>
      <c r="U423" s="2" t="s">
        <v>7</v>
      </c>
    </row>
    <row r="424" spans="2:21" ht="89.25" x14ac:dyDescent="0.25">
      <c r="B424" s="12"/>
      <c r="C424" s="13" t="str">
        <f t="shared" si="27"/>
        <v>x</v>
      </c>
      <c r="D424" s="14" t="str">
        <f t="shared" si="28"/>
        <v>#Matete Nro 285
Barco formado por susto clásico y pregunta clásica
5 letras
#Juegodepalabras #adivinanzas #crucigramas</v>
      </c>
      <c r="E424" s="17"/>
      <c r="F424" s="17">
        <f t="shared" si="29"/>
        <v>119</v>
      </c>
      <c r="G424" s="6">
        <v>1072780</v>
      </c>
      <c r="H424" s="1">
        <v>285</v>
      </c>
      <c r="I424" s="2" t="s">
        <v>948</v>
      </c>
      <c r="J424" s="2" t="s">
        <v>948</v>
      </c>
      <c r="K424" s="2" t="s">
        <v>949</v>
      </c>
      <c r="L424" s="2">
        <f t="shared" si="30"/>
        <v>5</v>
      </c>
      <c r="M424" s="2" t="s">
        <v>360</v>
      </c>
      <c r="N424" s="2" t="s">
        <v>3</v>
      </c>
      <c r="O424" s="1">
        <v>22</v>
      </c>
      <c r="P424" s="2" t="s">
        <v>950</v>
      </c>
      <c r="Q424" s="2"/>
      <c r="R424" s="2"/>
      <c r="S424" s="2" t="s">
        <v>951</v>
      </c>
      <c r="U424" s="2" t="s">
        <v>740</v>
      </c>
    </row>
    <row r="425" spans="2:21" ht="89.25" x14ac:dyDescent="0.25">
      <c r="B425" s="12"/>
      <c r="C425" s="13" t="str">
        <f t="shared" si="27"/>
        <v>x</v>
      </c>
      <c r="D425" s="14" t="str">
        <f t="shared" si="28"/>
        <v>#Matete Nro 458
Ganso juego de mesa que debe decidir
8 letras
#Juegodepalabras #adivinanzas #crucigramas</v>
      </c>
      <c r="E425" s="17"/>
      <c r="F425" s="17">
        <f t="shared" si="29"/>
        <v>105</v>
      </c>
      <c r="G425" s="6">
        <v>1073114</v>
      </c>
      <c r="H425" s="1">
        <v>458</v>
      </c>
      <c r="I425" s="2" t="s">
        <v>1315</v>
      </c>
      <c r="J425" s="2" t="s">
        <v>1318</v>
      </c>
      <c r="K425" s="2" t="s">
        <v>1316</v>
      </c>
      <c r="L425" s="2">
        <f t="shared" si="30"/>
        <v>8</v>
      </c>
      <c r="M425" s="2" t="s">
        <v>68</v>
      </c>
      <c r="N425" s="2" t="s">
        <v>83</v>
      </c>
      <c r="O425" s="1">
        <v>31</v>
      </c>
      <c r="P425" s="2"/>
      <c r="Q425" s="2"/>
      <c r="R425" s="2"/>
      <c r="S425" s="2" t="s">
        <v>1317</v>
      </c>
      <c r="U425" s="2" t="s">
        <v>740</v>
      </c>
    </row>
    <row r="426" spans="2:21" ht="89.25" x14ac:dyDescent="0.25">
      <c r="B426" s="12"/>
      <c r="C426" s="13" t="str">
        <f t="shared" si="27"/>
        <v>x</v>
      </c>
      <c r="D426" s="14" t="str">
        <f t="shared" si="28"/>
        <v>#Matete Nro 498
Animal que hace rotar una nota musical
6 letras
#Juegodepalabras #adivinanzas #crucigramas</v>
      </c>
      <c r="E426" s="17"/>
      <c r="F426" s="17">
        <f t="shared" si="29"/>
        <v>107</v>
      </c>
      <c r="G426" s="6">
        <v>1075491</v>
      </c>
      <c r="H426" s="1">
        <v>498</v>
      </c>
      <c r="I426" s="2" t="s">
        <v>1380</v>
      </c>
      <c r="J426" s="2" t="s">
        <v>1380</v>
      </c>
      <c r="K426" s="2" t="s">
        <v>1381</v>
      </c>
      <c r="L426" s="2">
        <f t="shared" si="30"/>
        <v>6</v>
      </c>
      <c r="M426" s="2"/>
      <c r="N426" s="2" t="s">
        <v>3</v>
      </c>
      <c r="O426" s="1">
        <v>33</v>
      </c>
      <c r="P426" s="2"/>
      <c r="Q426" s="2"/>
      <c r="R426" s="2"/>
      <c r="S426" s="2" t="s">
        <v>1382</v>
      </c>
      <c r="U426" s="2" t="s">
        <v>740</v>
      </c>
    </row>
    <row r="427" spans="2:21" ht="89.25" x14ac:dyDescent="0.25">
      <c r="B427" s="12"/>
      <c r="C427" s="13" t="str">
        <f t="shared" si="27"/>
        <v>x</v>
      </c>
      <c r="D427" s="14" t="str">
        <f t="shared" si="28"/>
        <v>#Matete Nro 155
Dícese del vino que perdió la oscuridad
7 letras
#Juegodepalabras #adivinanzas #crucigramas</v>
      </c>
      <c r="E427" s="17"/>
      <c r="F427" s="17">
        <f t="shared" si="29"/>
        <v>108</v>
      </c>
      <c r="G427" s="6">
        <v>1079253</v>
      </c>
      <c r="H427" s="1">
        <v>155</v>
      </c>
      <c r="I427" s="2" t="s">
        <v>541</v>
      </c>
      <c r="J427" s="2" t="s">
        <v>541</v>
      </c>
      <c r="K427" s="2" t="s">
        <v>542</v>
      </c>
      <c r="L427" s="2">
        <f t="shared" si="30"/>
        <v>7</v>
      </c>
      <c r="M427" s="2" t="s">
        <v>68</v>
      </c>
      <c r="N427" s="2" t="s">
        <v>3</v>
      </c>
      <c r="O427" s="1">
        <v>14</v>
      </c>
      <c r="P427" s="2" t="s">
        <v>543</v>
      </c>
      <c r="Q427" s="2" t="s">
        <v>544</v>
      </c>
      <c r="R427" s="2"/>
      <c r="S427" s="2" t="s">
        <v>545</v>
      </c>
      <c r="U427" s="2" t="s">
        <v>7</v>
      </c>
    </row>
    <row r="428" spans="2:21" ht="76.5" x14ac:dyDescent="0.25">
      <c r="B428" s="12"/>
      <c r="C428" s="13" t="str">
        <f t="shared" si="27"/>
        <v>x</v>
      </c>
      <c r="D428" s="14" t="str">
        <f t="shared" si="28"/>
        <v>#Matete Nro 335
Monja Dios
6 letras
#Juegodepalabras #adivinanzas #crucigramas</v>
      </c>
      <c r="E428" s="17"/>
      <c r="F428" s="17">
        <f t="shared" si="29"/>
        <v>79</v>
      </c>
      <c r="G428" s="6">
        <v>1080155</v>
      </c>
      <c r="H428" s="1">
        <v>335</v>
      </c>
      <c r="I428" s="2" t="s">
        <v>1106</v>
      </c>
      <c r="J428" s="2" t="s">
        <v>1109</v>
      </c>
      <c r="K428" s="2" t="s">
        <v>1107</v>
      </c>
      <c r="L428" s="2">
        <f t="shared" si="30"/>
        <v>6</v>
      </c>
      <c r="M428" s="2"/>
      <c r="N428" s="2" t="s">
        <v>3</v>
      </c>
      <c r="O428" s="1">
        <v>28</v>
      </c>
      <c r="P428" s="2"/>
      <c r="Q428" s="2"/>
      <c r="R428" s="2"/>
      <c r="S428" s="2" t="s">
        <v>1108</v>
      </c>
      <c r="U428" s="2" t="s">
        <v>740</v>
      </c>
    </row>
    <row r="429" spans="2:21" ht="89.25" x14ac:dyDescent="0.25">
      <c r="B429" s="12"/>
      <c r="C429" s="13" t="str">
        <f t="shared" si="27"/>
        <v>x</v>
      </c>
      <c r="D429" s="14" t="str">
        <f t="shared" si="28"/>
        <v>#Matete Nro 174
Quita la vida al vehículo de cuatro ruedas
8 letras
#Juegodepalabras #adivinanzas #crucigramas</v>
      </c>
      <c r="E429" s="17"/>
      <c r="F429" s="17">
        <f t="shared" si="29"/>
        <v>111</v>
      </c>
      <c r="G429" s="6">
        <v>1080239</v>
      </c>
      <c r="H429" s="1">
        <v>174</v>
      </c>
      <c r="I429" s="2" t="s">
        <v>598</v>
      </c>
      <c r="J429" s="2" t="s">
        <v>601</v>
      </c>
      <c r="K429" s="2" t="s">
        <v>599</v>
      </c>
      <c r="L429" s="2">
        <f t="shared" si="30"/>
        <v>8</v>
      </c>
      <c r="M429" s="2" t="s">
        <v>360</v>
      </c>
      <c r="N429" s="2" t="s">
        <v>3</v>
      </c>
      <c r="O429" s="1">
        <v>15</v>
      </c>
      <c r="P429" s="2"/>
      <c r="Q429" s="2"/>
      <c r="R429" s="2"/>
      <c r="S429" s="2" t="s">
        <v>600</v>
      </c>
      <c r="U429" s="2" t="s">
        <v>7</v>
      </c>
    </row>
    <row r="430" spans="2:21" ht="89.25" x14ac:dyDescent="0.25">
      <c r="B430" s="15"/>
      <c r="C430" s="13" t="str">
        <f t="shared" si="27"/>
        <v>x</v>
      </c>
      <c r="D430" s="14" t="str">
        <f t="shared" si="28"/>
        <v>#Matete Nro 2
Para poder cosechar asiente el macho a su pareja
7 letras
#Juegodepalabras #adivinanzas #crucigramas</v>
      </c>
      <c r="E430" s="17"/>
      <c r="F430" s="17">
        <f t="shared" si="29"/>
        <v>115</v>
      </c>
      <c r="G430" s="6">
        <v>1082741</v>
      </c>
      <c r="H430" s="1">
        <v>2</v>
      </c>
      <c r="I430" s="2" t="s">
        <v>8</v>
      </c>
      <c r="J430" s="2" t="s">
        <v>12</v>
      </c>
      <c r="K430" s="2" t="s">
        <v>9</v>
      </c>
      <c r="L430" s="2">
        <f t="shared" si="30"/>
        <v>7</v>
      </c>
      <c r="M430" s="2" t="s">
        <v>2</v>
      </c>
      <c r="N430" s="2" t="s">
        <v>3</v>
      </c>
      <c r="O430" s="1">
        <v>1</v>
      </c>
      <c r="P430" s="2" t="s">
        <v>10</v>
      </c>
      <c r="Q430" s="2"/>
      <c r="R430" s="2"/>
      <c r="S430" s="2" t="s">
        <v>11</v>
      </c>
      <c r="U430" s="2" t="s">
        <v>7</v>
      </c>
    </row>
    <row r="431" spans="2:21" ht="89.25" x14ac:dyDescent="0.25">
      <c r="B431" s="12"/>
      <c r="C431" s="13" t="str">
        <f t="shared" si="27"/>
        <v>x</v>
      </c>
      <c r="D431" s="14" t="str">
        <f t="shared" si="28"/>
        <v>#Matete Nro 101
Niega a la primera mujer bíblica
5 letras
#Juegodepalabras #adivinanzas #crucigramas</v>
      </c>
      <c r="E431" s="17"/>
      <c r="F431" s="17">
        <f t="shared" si="29"/>
        <v>101</v>
      </c>
      <c r="G431" s="6">
        <v>1092768</v>
      </c>
      <c r="H431" s="1">
        <v>101</v>
      </c>
      <c r="I431" s="2" t="s">
        <v>358</v>
      </c>
      <c r="J431" s="2" t="s">
        <v>363</v>
      </c>
      <c r="K431" s="2" t="s">
        <v>359</v>
      </c>
      <c r="L431" s="2">
        <f t="shared" si="30"/>
        <v>5</v>
      </c>
      <c r="M431" s="2" t="s">
        <v>360</v>
      </c>
      <c r="N431" s="2" t="s">
        <v>3</v>
      </c>
      <c r="O431" s="1">
        <v>10</v>
      </c>
      <c r="P431" s="2" t="s">
        <v>361</v>
      </c>
      <c r="Q431" s="2"/>
      <c r="R431" s="2"/>
      <c r="S431" s="2" t="s">
        <v>362</v>
      </c>
      <c r="U431" s="2" t="s">
        <v>7</v>
      </c>
    </row>
    <row r="432" spans="2:21" ht="76.5" x14ac:dyDescent="0.25">
      <c r="B432" s="12"/>
      <c r="C432" s="13" t="str">
        <f t="shared" si="27"/>
        <v>x</v>
      </c>
      <c r="D432" s="14" t="str">
        <f t="shared" si="28"/>
        <v>#Matete Nro 102
Sin aliento para el caballito
6 letras
#Juegodepalabras #adivinanzas #crucigramas</v>
      </c>
      <c r="E432" s="17"/>
      <c r="F432" s="17">
        <f t="shared" si="29"/>
        <v>98</v>
      </c>
      <c r="G432" s="6">
        <v>1097156</v>
      </c>
      <c r="H432" s="1">
        <v>102</v>
      </c>
      <c r="I432" s="2" t="s">
        <v>364</v>
      </c>
      <c r="J432" s="2" t="s">
        <v>367</v>
      </c>
      <c r="K432" s="2" t="s">
        <v>365</v>
      </c>
      <c r="L432" s="2">
        <f t="shared" si="30"/>
        <v>6</v>
      </c>
      <c r="M432" s="2"/>
      <c r="N432" s="2" t="s">
        <v>3</v>
      </c>
      <c r="O432" s="1">
        <v>10</v>
      </c>
      <c r="P432" s="2"/>
      <c r="Q432" s="2"/>
      <c r="R432" s="2"/>
      <c r="S432" s="2" t="s">
        <v>366</v>
      </c>
      <c r="U432" s="2" t="s">
        <v>7</v>
      </c>
    </row>
    <row r="433" spans="2:21" ht="89.25" x14ac:dyDescent="0.25">
      <c r="B433" s="12"/>
      <c r="C433" s="13" t="str">
        <f t="shared" si="27"/>
        <v>x</v>
      </c>
      <c r="D433" s="14" t="str">
        <f t="shared" si="28"/>
        <v>#Matete Nro 173
Proyecto relativo a la edad de las personas
10 letras
#Juegodepalabras #adivinanzas #crucigramas</v>
      </c>
      <c r="E433" s="17"/>
      <c r="F433" s="17">
        <f t="shared" si="29"/>
        <v>113</v>
      </c>
      <c r="G433" s="6">
        <v>1099116</v>
      </c>
      <c r="H433" s="1">
        <v>173</v>
      </c>
      <c r="I433" s="2" t="s">
        <v>595</v>
      </c>
      <c r="J433" s="2" t="s">
        <v>595</v>
      </c>
      <c r="K433" s="2" t="s">
        <v>596</v>
      </c>
      <c r="L433" s="2">
        <f t="shared" si="30"/>
        <v>10</v>
      </c>
      <c r="M433" s="2" t="s">
        <v>349</v>
      </c>
      <c r="N433" s="2" t="s">
        <v>3</v>
      </c>
      <c r="O433" s="1">
        <v>15</v>
      </c>
      <c r="P433" s="2"/>
      <c r="Q433" s="2"/>
      <c r="R433" s="2"/>
      <c r="S433" s="2" t="s">
        <v>597</v>
      </c>
      <c r="U433" s="2" t="s">
        <v>7</v>
      </c>
    </row>
    <row r="434" spans="2:21" ht="102" x14ac:dyDescent="0.25">
      <c r="B434" s="12"/>
      <c r="C434" s="13" t="str">
        <f t="shared" si="27"/>
        <v>x</v>
      </c>
      <c r="D434" s="14" t="str">
        <f t="shared" si="28"/>
        <v>#Matete Nro 584
Pruebe el sabor de la vibración de la superficie terrestre.
9 letras
#Juegodepalabras #adivinanzas #crucigramas</v>
      </c>
      <c r="E434" s="17"/>
      <c r="F434" s="17">
        <f t="shared" si="29"/>
        <v>128</v>
      </c>
      <c r="G434" s="6">
        <v>1100021</v>
      </c>
      <c r="H434" s="1">
        <v>584</v>
      </c>
      <c r="I434" s="2" t="s">
        <v>1511</v>
      </c>
      <c r="J434" s="2" t="s">
        <v>1514</v>
      </c>
      <c r="K434" s="2" t="s">
        <v>1512</v>
      </c>
      <c r="L434" s="2">
        <f t="shared" si="30"/>
        <v>9</v>
      </c>
      <c r="M434" s="2"/>
      <c r="N434" s="2" t="s">
        <v>3</v>
      </c>
      <c r="O434" s="1">
        <v>34</v>
      </c>
      <c r="P434" s="2"/>
      <c r="Q434" s="2"/>
      <c r="R434" s="2"/>
      <c r="S434" s="2" t="s">
        <v>1513</v>
      </c>
      <c r="U434" s="2" t="s">
        <v>1423</v>
      </c>
    </row>
    <row r="435" spans="2:21" ht="76.5" x14ac:dyDescent="0.25">
      <c r="B435" s="12"/>
      <c r="C435" s="13" t="str">
        <f t="shared" si="27"/>
        <v>x</v>
      </c>
      <c r="D435" s="14" t="str">
        <f t="shared" si="28"/>
        <v>#Matete Nro 176
Detrás del objetivo
10 letras
#Juegodepalabras #adivinanzas #crucigramas</v>
      </c>
      <c r="E435" s="17"/>
      <c r="F435" s="17">
        <f t="shared" si="29"/>
        <v>89</v>
      </c>
      <c r="G435" s="6">
        <v>1101384</v>
      </c>
      <c r="H435" s="1">
        <v>176</v>
      </c>
      <c r="I435" s="2" t="s">
        <v>605</v>
      </c>
      <c r="J435" s="2" t="s">
        <v>608</v>
      </c>
      <c r="K435" s="2" t="s">
        <v>606</v>
      </c>
      <c r="L435" s="2">
        <f t="shared" si="30"/>
        <v>10</v>
      </c>
      <c r="M435" s="2"/>
      <c r="N435" s="2" t="s">
        <v>3</v>
      </c>
      <c r="O435" s="1">
        <v>15</v>
      </c>
      <c r="P435" s="2"/>
      <c r="Q435" s="2"/>
      <c r="R435" s="2"/>
      <c r="S435" s="2" t="s">
        <v>607</v>
      </c>
      <c r="U435" s="2" t="s">
        <v>7</v>
      </c>
    </row>
    <row r="436" spans="2:21" ht="76.5" x14ac:dyDescent="0.25">
      <c r="B436" s="12"/>
      <c r="C436" s="13" t="str">
        <f t="shared" si="27"/>
        <v>x</v>
      </c>
      <c r="D436" s="14" t="str">
        <f t="shared" si="28"/>
        <v>#Matete Nro 111
Triplemente del tránsito
7 letras
#Juegodepalabras #adivinanzas #crucigramas</v>
      </c>
      <c r="E436" s="17"/>
      <c r="F436" s="17">
        <f t="shared" si="29"/>
        <v>93</v>
      </c>
      <c r="G436" s="6">
        <v>1102868</v>
      </c>
      <c r="H436" s="1">
        <v>111</v>
      </c>
      <c r="I436" s="2" t="s">
        <v>394</v>
      </c>
      <c r="J436" s="2" t="s">
        <v>394</v>
      </c>
      <c r="K436" s="2" t="s">
        <v>395</v>
      </c>
      <c r="L436" s="2">
        <f t="shared" si="30"/>
        <v>7</v>
      </c>
      <c r="M436" s="2"/>
      <c r="N436" s="2" t="s">
        <v>3</v>
      </c>
      <c r="O436" s="1">
        <v>11</v>
      </c>
      <c r="P436" s="2" t="s">
        <v>396</v>
      </c>
      <c r="Q436" s="2"/>
      <c r="R436" s="2"/>
      <c r="S436" s="2" t="s">
        <v>397</v>
      </c>
      <c r="U436" s="2" t="s">
        <v>7</v>
      </c>
    </row>
    <row r="437" spans="2:21" ht="89.25" x14ac:dyDescent="0.25">
      <c r="B437" s="12"/>
      <c r="C437" s="13" t="str">
        <f t="shared" si="27"/>
        <v>x</v>
      </c>
      <c r="D437" s="14" t="str">
        <f t="shared" si="28"/>
        <v>#Matete Nro 292
Que se enamore de una mujer no acusada en un juicio
9 letras
#Juegodepalabras #adivinanzas #crucigramas</v>
      </c>
      <c r="E437" s="17"/>
      <c r="F437" s="17">
        <f t="shared" si="29"/>
        <v>120</v>
      </c>
      <c r="G437" s="6">
        <v>1103472</v>
      </c>
      <c r="H437" s="1">
        <v>292</v>
      </c>
      <c r="I437" s="2" t="s">
        <v>974</v>
      </c>
      <c r="J437" s="2" t="s">
        <v>974</v>
      </c>
      <c r="K437" s="2" t="s">
        <v>975</v>
      </c>
      <c r="L437" s="2">
        <f t="shared" si="30"/>
        <v>9</v>
      </c>
      <c r="M437" s="2" t="s">
        <v>473</v>
      </c>
      <c r="N437" s="2" t="s">
        <v>83</v>
      </c>
      <c r="O437" s="1">
        <v>22</v>
      </c>
      <c r="P437" s="2"/>
      <c r="Q437" s="2"/>
      <c r="R437" s="2"/>
      <c r="S437" s="2" t="s">
        <v>976</v>
      </c>
      <c r="U437" s="2" t="s">
        <v>740</v>
      </c>
    </row>
    <row r="438" spans="2:21" ht="89.25" x14ac:dyDescent="0.25">
      <c r="B438" s="12"/>
      <c r="C438" s="13" t="str">
        <f t="shared" si="27"/>
        <v>x</v>
      </c>
      <c r="D438" s="14" t="str">
        <f t="shared" si="28"/>
        <v>#Matete Nro 34
Me niego a agitarlo fuertemente
6 letras
#Juegodepalabras #adivinanzas #crucigramas</v>
      </c>
      <c r="E438" s="17"/>
      <c r="F438" s="17">
        <f t="shared" si="29"/>
        <v>99</v>
      </c>
      <c r="G438" s="6">
        <v>1104540</v>
      </c>
      <c r="H438" s="1">
        <v>34</v>
      </c>
      <c r="I438" s="2" t="s">
        <v>126</v>
      </c>
      <c r="J438" s="2" t="s">
        <v>126</v>
      </c>
      <c r="K438" s="2" t="s">
        <v>127</v>
      </c>
      <c r="L438" s="2">
        <f t="shared" si="30"/>
        <v>6</v>
      </c>
      <c r="M438" s="2" t="s">
        <v>2</v>
      </c>
      <c r="N438" s="2" t="s">
        <v>3</v>
      </c>
      <c r="O438" s="1">
        <v>3</v>
      </c>
      <c r="P438" s="2"/>
      <c r="Q438" s="2"/>
      <c r="R438" s="2"/>
      <c r="S438" s="2" t="s">
        <v>128</v>
      </c>
      <c r="U438" s="2" t="s">
        <v>7</v>
      </c>
    </row>
    <row r="439" spans="2:21" ht="76.5" x14ac:dyDescent="0.25">
      <c r="B439" s="12"/>
      <c r="C439" s="13" t="str">
        <f t="shared" ref="C439:C502" si="31">IF(B439&lt;&gt;"",WEEKDAY(B439),"x")</f>
        <v>x</v>
      </c>
      <c r="D439" s="14" t="str">
        <f t="shared" si="28"/>
        <v>#Matete Nro 206
Vivir en la letra primera
8 letras
#Juegodepalabras #adivinanzas #crucigramas</v>
      </c>
      <c r="E439" s="17"/>
      <c r="F439" s="17">
        <f t="shared" si="29"/>
        <v>94</v>
      </c>
      <c r="G439" s="6">
        <v>1106215</v>
      </c>
      <c r="H439" s="1">
        <v>206</v>
      </c>
      <c r="I439" s="2" t="s">
        <v>705</v>
      </c>
      <c r="J439" s="2" t="s">
        <v>705</v>
      </c>
      <c r="K439" s="2" t="s">
        <v>706</v>
      </c>
      <c r="L439" s="2">
        <f t="shared" si="30"/>
        <v>8</v>
      </c>
      <c r="M439" s="2" t="s">
        <v>349</v>
      </c>
      <c r="N439" s="2" t="s">
        <v>83</v>
      </c>
      <c r="O439" s="1">
        <v>17</v>
      </c>
      <c r="P439" s="2"/>
      <c r="Q439" s="2"/>
      <c r="R439" s="2"/>
      <c r="S439" s="2" t="s">
        <v>707</v>
      </c>
      <c r="U439" s="2" t="s">
        <v>7</v>
      </c>
    </row>
    <row r="440" spans="2:21" ht="114.75" x14ac:dyDescent="0.25">
      <c r="B440" s="12"/>
      <c r="C440" s="13" t="str">
        <f t="shared" si="31"/>
        <v>x</v>
      </c>
      <c r="D440" s="14" t="str">
        <f t="shared" si="28"/>
        <v>#Matete Nro 405
Pasado de ES que se interpreta a pedido del público una vez que finalizó el concierto
6 letras
#Juegodepalabras #adivinanzas #crucigramas</v>
      </c>
      <c r="E440" s="17"/>
      <c r="F440" s="17">
        <f t="shared" si="29"/>
        <v>154</v>
      </c>
      <c r="G440" s="6">
        <v>1109916</v>
      </c>
      <c r="H440" s="1">
        <v>405</v>
      </c>
      <c r="I440" s="2" t="s">
        <v>1229</v>
      </c>
      <c r="J440" s="2" t="s">
        <v>1229</v>
      </c>
      <c r="K440" s="2" t="s">
        <v>1230</v>
      </c>
      <c r="L440" s="2">
        <f t="shared" si="30"/>
        <v>6</v>
      </c>
      <c r="M440" s="2" t="s">
        <v>68</v>
      </c>
      <c r="N440" s="2" t="s">
        <v>3</v>
      </c>
      <c r="O440" s="1">
        <v>29</v>
      </c>
      <c r="P440" s="2"/>
      <c r="Q440" s="2"/>
      <c r="R440" s="2"/>
      <c r="S440" s="2" t="s">
        <v>1231</v>
      </c>
      <c r="U440" s="2" t="s">
        <v>740</v>
      </c>
    </row>
    <row r="441" spans="2:21" ht="89.25" x14ac:dyDescent="0.25">
      <c r="B441" s="12"/>
      <c r="C441" s="13" t="str">
        <f t="shared" si="31"/>
        <v>x</v>
      </c>
      <c r="D441" s="14" t="str">
        <f t="shared" si="28"/>
        <v>#Matete Nro 55
Traducción combinada de más chair
8 letras
#Juegodepalabras #adivinanzas #crucigramas</v>
      </c>
      <c r="E441" s="17"/>
      <c r="F441" s="17">
        <f t="shared" si="29"/>
        <v>101</v>
      </c>
      <c r="G441" s="6">
        <v>1110514</v>
      </c>
      <c r="H441" s="1">
        <v>55</v>
      </c>
      <c r="I441" s="2" t="s">
        <v>193</v>
      </c>
      <c r="J441" s="2" t="s">
        <v>193</v>
      </c>
      <c r="K441" s="2" t="s">
        <v>194</v>
      </c>
      <c r="L441" s="2">
        <f t="shared" si="30"/>
        <v>8</v>
      </c>
      <c r="M441" s="2" t="s">
        <v>2</v>
      </c>
      <c r="N441" s="2" t="s">
        <v>195</v>
      </c>
      <c r="O441" s="1">
        <v>5</v>
      </c>
      <c r="P441" s="2"/>
      <c r="Q441" s="2"/>
      <c r="R441" s="2"/>
      <c r="S441" s="2" t="s">
        <v>196</v>
      </c>
      <c r="U441" s="2" t="s">
        <v>7</v>
      </c>
    </row>
    <row r="442" spans="2:21" ht="89.25" x14ac:dyDescent="0.25">
      <c r="B442" s="12"/>
      <c r="C442" s="13" t="str">
        <f t="shared" si="31"/>
        <v>x</v>
      </c>
      <c r="D442" s="14" t="str">
        <f t="shared" si="28"/>
        <v>#Matete Nro 90
Mujer chiflada a la que se le quitaron los rulos
10 letras
#Juegodepalabras #adivinanzas #crucigramas</v>
      </c>
      <c r="E442" s="17"/>
      <c r="F442" s="17">
        <f t="shared" si="29"/>
        <v>117</v>
      </c>
      <c r="G442" s="6">
        <v>1113392</v>
      </c>
      <c r="H442" s="1">
        <v>90</v>
      </c>
      <c r="I442" s="2" t="s">
        <v>317</v>
      </c>
      <c r="J442" s="2" t="s">
        <v>320</v>
      </c>
      <c r="K442" s="2" t="s">
        <v>318</v>
      </c>
      <c r="L442" s="2">
        <f t="shared" si="30"/>
        <v>10</v>
      </c>
      <c r="M442" s="2"/>
      <c r="N442" s="2" t="s">
        <v>76</v>
      </c>
      <c r="O442" s="1">
        <v>9</v>
      </c>
      <c r="P442" s="2"/>
      <c r="Q442" s="2"/>
      <c r="R442" s="2"/>
      <c r="S442" s="2" t="s">
        <v>319</v>
      </c>
      <c r="U442" s="2" t="s">
        <v>7</v>
      </c>
    </row>
    <row r="443" spans="2:21" ht="102" x14ac:dyDescent="0.25">
      <c r="B443" s="12"/>
      <c r="C443" s="13" t="str">
        <f t="shared" si="31"/>
        <v>x</v>
      </c>
      <c r="D443" s="14" t="str">
        <f t="shared" si="28"/>
        <v>#Matete Nro 244
Conocimiento estructurado y sistemático del padre abreviado
9 letras
#Juegodepalabras #adivinanzas #crucigramas</v>
      </c>
      <c r="E443" s="17"/>
      <c r="F443" s="17">
        <f t="shared" si="29"/>
        <v>128</v>
      </c>
      <c r="G443" s="6">
        <v>1116678</v>
      </c>
      <c r="H443" s="1">
        <v>244</v>
      </c>
      <c r="I443" s="2" t="s">
        <v>814</v>
      </c>
      <c r="J443" s="2" t="s">
        <v>814</v>
      </c>
      <c r="K443" s="2" t="s">
        <v>815</v>
      </c>
      <c r="L443" s="2">
        <f t="shared" si="30"/>
        <v>9</v>
      </c>
      <c r="M443" s="2" t="s">
        <v>349</v>
      </c>
      <c r="N443" s="2" t="s">
        <v>3</v>
      </c>
      <c r="O443" s="1">
        <v>19</v>
      </c>
      <c r="P443" s="2" t="s">
        <v>816</v>
      </c>
      <c r="Q443" s="2"/>
      <c r="R443" s="2"/>
      <c r="S443" s="2" t="s">
        <v>817</v>
      </c>
      <c r="U443" s="2" t="s">
        <v>740</v>
      </c>
    </row>
    <row r="444" spans="2:21" ht="76.5" x14ac:dyDescent="0.25">
      <c r="B444" s="12"/>
      <c r="C444" s="13" t="str">
        <f t="shared" si="31"/>
        <v>x</v>
      </c>
      <c r="D444" s="14" t="str">
        <f t="shared" si="28"/>
        <v>#Matete Nro 456
Vaca degustada
9 letras
#Juegodepalabras #adivinanzas #crucigramas</v>
      </c>
      <c r="E444" s="17"/>
      <c r="F444" s="17">
        <f t="shared" si="29"/>
        <v>83</v>
      </c>
      <c r="G444" s="6">
        <v>1116898</v>
      </c>
      <c r="H444" s="1">
        <v>456</v>
      </c>
      <c r="I444" s="2" t="s">
        <v>1311</v>
      </c>
      <c r="J444" s="2" t="s">
        <v>1314</v>
      </c>
      <c r="K444" s="2" t="s">
        <v>1312</v>
      </c>
      <c r="L444" s="2">
        <f t="shared" si="30"/>
        <v>9</v>
      </c>
      <c r="M444" s="2"/>
      <c r="N444" s="2" t="s">
        <v>3</v>
      </c>
      <c r="O444" s="1">
        <v>31</v>
      </c>
      <c r="P444" s="2"/>
      <c r="Q444" s="2"/>
      <c r="R444" s="2"/>
      <c r="S444" s="2" t="s">
        <v>1313</v>
      </c>
      <c r="U444" s="2" t="s">
        <v>740</v>
      </c>
    </row>
    <row r="445" spans="2:21" ht="114.75" x14ac:dyDescent="0.25">
      <c r="B445" s="12"/>
      <c r="C445" s="13" t="str">
        <f t="shared" si="31"/>
        <v>x</v>
      </c>
      <c r="D445" s="14" t="str">
        <f t="shared" ref="D445:D481" si="32">"#Matete Nro "&amp;H445&amp;CHAR(10)&amp;K445&amp;CHAR(10)&amp;L445&amp;" letras"&amp;CHAR(10)&amp;CHAR(10)&amp;"#Juegodepalabras #adivinanzas #crucigramas"</f>
        <v>#Matete Nro 570
Toco repetidamente con las manos el aparato para cocer cosas como pan, ladrillos, cerámica.
7 letras
#Juegodepalabras #adivinanzas #crucigramas</v>
      </c>
      <c r="E445" s="17"/>
      <c r="F445" s="17">
        <f t="shared" ref="F445:F489" si="33">LEN(D445)</f>
        <v>160</v>
      </c>
      <c r="G445" s="6">
        <v>1120871</v>
      </c>
      <c r="H445" s="1">
        <v>570</v>
      </c>
      <c r="I445" s="2" t="s">
        <v>1488</v>
      </c>
      <c r="J445" s="2" t="s">
        <v>1491</v>
      </c>
      <c r="K445" s="2" t="s">
        <v>1489</v>
      </c>
      <c r="L445" s="2">
        <f t="shared" si="30"/>
        <v>7</v>
      </c>
      <c r="M445" s="2"/>
      <c r="N445" s="2" t="s">
        <v>76</v>
      </c>
      <c r="O445" s="1">
        <v>34</v>
      </c>
      <c r="P445" s="2"/>
      <c r="Q445" s="2"/>
      <c r="R445" s="2"/>
      <c r="S445" s="2" t="s">
        <v>1490</v>
      </c>
      <c r="U445" s="2" t="s">
        <v>1423</v>
      </c>
    </row>
    <row r="446" spans="2:21" ht="89.25" x14ac:dyDescent="0.25">
      <c r="B446" s="12"/>
      <c r="C446" s="13" t="str">
        <f t="shared" si="31"/>
        <v>x</v>
      </c>
      <c r="D446" s="14" t="str">
        <f t="shared" si="32"/>
        <v>#Matete Nro 98
Coloca mayor cantidad de auto en inglés
10 letras
#Juegodepalabras #adivinanzas #crucigramas</v>
      </c>
      <c r="E446" s="17"/>
      <c r="F446" s="17">
        <f t="shared" si="33"/>
        <v>108</v>
      </c>
      <c r="G446" s="6">
        <v>1122336</v>
      </c>
      <c r="H446" s="1">
        <v>98</v>
      </c>
      <c r="I446" s="2" t="s">
        <v>347</v>
      </c>
      <c r="J446" s="2" t="s">
        <v>347</v>
      </c>
      <c r="K446" s="2" t="s">
        <v>348</v>
      </c>
      <c r="L446" s="2">
        <f t="shared" si="30"/>
        <v>10</v>
      </c>
      <c r="M446" s="2" t="s">
        <v>349</v>
      </c>
      <c r="N446" s="2" t="s">
        <v>195</v>
      </c>
      <c r="O446" s="1">
        <v>10</v>
      </c>
      <c r="P446" s="2" t="s">
        <v>350</v>
      </c>
      <c r="Q446" s="2"/>
      <c r="R446" s="2"/>
      <c r="S446" s="2" t="s">
        <v>351</v>
      </c>
      <c r="U446" s="2" t="s">
        <v>7</v>
      </c>
    </row>
    <row r="447" spans="2:21" ht="76.5" x14ac:dyDescent="0.25">
      <c r="B447" s="12"/>
      <c r="C447" s="13" t="str">
        <f t="shared" si="31"/>
        <v>x</v>
      </c>
      <c r="D447" s="14" t="str">
        <f t="shared" si="32"/>
        <v>#Matete Nro 400
Sin siquiera amor propio
5 letras
#Juegodepalabras #adivinanzas #crucigramas</v>
      </c>
      <c r="E447" s="17"/>
      <c r="F447" s="17">
        <f t="shared" si="33"/>
        <v>93</v>
      </c>
      <c r="G447" s="6">
        <v>1126685</v>
      </c>
      <c r="H447" s="1">
        <v>400</v>
      </c>
      <c r="I447" s="2" t="s">
        <v>1221</v>
      </c>
      <c r="J447" s="2" t="s">
        <v>1224</v>
      </c>
      <c r="K447" s="2" t="s">
        <v>1222</v>
      </c>
      <c r="L447" s="2">
        <f t="shared" si="30"/>
        <v>5</v>
      </c>
      <c r="M447" s="2" t="s">
        <v>68</v>
      </c>
      <c r="N447" s="2" t="s">
        <v>3</v>
      </c>
      <c r="O447" s="1">
        <v>29</v>
      </c>
      <c r="P447" s="2"/>
      <c r="Q447" s="2"/>
      <c r="R447" s="2"/>
      <c r="S447" s="2" t="s">
        <v>1223</v>
      </c>
      <c r="U447" s="2" t="s">
        <v>740</v>
      </c>
    </row>
    <row r="448" spans="2:21" ht="76.5" x14ac:dyDescent="0.25">
      <c r="B448" s="12"/>
      <c r="C448" s="13" t="str">
        <f t="shared" si="31"/>
        <v>x</v>
      </c>
      <c r="D448" s="14" t="str">
        <f t="shared" si="32"/>
        <v>#Matete Nro 690
Siente rabia por el no non
7 letras
#Juegodepalabras #adivinanzas #crucigramas</v>
      </c>
      <c r="E448" s="17"/>
      <c r="F448" s="17">
        <f t="shared" si="33"/>
        <v>95</v>
      </c>
      <c r="G448" s="6">
        <v>1126811</v>
      </c>
      <c r="H448" s="1">
        <v>690</v>
      </c>
      <c r="I448" s="2" t="s">
        <v>1647</v>
      </c>
      <c r="J448" s="2" t="s">
        <v>1647</v>
      </c>
      <c r="K448" s="2" t="s">
        <v>1648</v>
      </c>
      <c r="L448" s="2">
        <f t="shared" si="30"/>
        <v>7</v>
      </c>
      <c r="M448" s="2" t="s">
        <v>68</v>
      </c>
      <c r="N448" s="2" t="s">
        <v>3</v>
      </c>
      <c r="O448" s="1">
        <v>36</v>
      </c>
      <c r="P448" s="2"/>
      <c r="Q448" s="2"/>
      <c r="R448" s="2"/>
      <c r="S448" s="2" t="s">
        <v>1649</v>
      </c>
      <c r="U448" s="2" t="s">
        <v>1423</v>
      </c>
    </row>
    <row r="449" spans="2:21" ht="76.5" x14ac:dyDescent="0.25">
      <c r="B449" s="12"/>
      <c r="C449" s="13" t="str">
        <f t="shared" si="31"/>
        <v>x</v>
      </c>
      <c r="D449" s="14" t="str">
        <f t="shared" si="32"/>
        <v>#Matete Nro 516
Introduzco el pájaro verde
8 letras
#Juegodepalabras #adivinanzas #crucigramas</v>
      </c>
      <c r="E449" s="17"/>
      <c r="F449" s="17">
        <f t="shared" si="33"/>
        <v>95</v>
      </c>
      <c r="G449" s="6">
        <v>1127339</v>
      </c>
      <c r="H449" s="1">
        <v>516</v>
      </c>
      <c r="I449" s="2" t="s">
        <v>1400</v>
      </c>
      <c r="J449" s="2" t="s">
        <v>1400</v>
      </c>
      <c r="K449" s="2" t="s">
        <v>1401</v>
      </c>
      <c r="L449" s="2">
        <f t="shared" si="30"/>
        <v>8</v>
      </c>
      <c r="M449" s="2"/>
      <c r="N449" s="2" t="s">
        <v>3</v>
      </c>
      <c r="O449" s="1">
        <v>33</v>
      </c>
      <c r="P449" s="2"/>
      <c r="Q449" s="2"/>
      <c r="R449" s="2"/>
      <c r="S449" s="2" t="s">
        <v>1402</v>
      </c>
      <c r="U449" s="2" t="s">
        <v>740</v>
      </c>
    </row>
    <row r="450" spans="2:21" ht="76.5" x14ac:dyDescent="0.25">
      <c r="B450" s="12"/>
      <c r="C450" s="13" t="str">
        <f t="shared" si="31"/>
        <v>x</v>
      </c>
      <c r="D450" s="14" t="str">
        <f t="shared" si="32"/>
        <v>#Matete Nro 628
Arrojas hombres ingleses
8 letras
#Juegodepalabras #adivinanzas #crucigramas</v>
      </c>
      <c r="E450" s="17"/>
      <c r="F450" s="17">
        <f t="shared" si="33"/>
        <v>93</v>
      </c>
      <c r="G450" s="6">
        <v>1129596</v>
      </c>
      <c r="H450" s="1">
        <v>628</v>
      </c>
      <c r="I450" s="2" t="s">
        <v>1560</v>
      </c>
      <c r="J450" s="2" t="s">
        <v>1563</v>
      </c>
      <c r="K450" s="2" t="s">
        <v>1561</v>
      </c>
      <c r="L450" s="2">
        <f t="shared" ref="L450:L489" si="34">LEN(I450)</f>
        <v>8</v>
      </c>
      <c r="M450" s="2"/>
      <c r="N450" s="2" t="s">
        <v>3</v>
      </c>
      <c r="O450" s="1">
        <v>35</v>
      </c>
      <c r="P450" s="2"/>
      <c r="Q450" s="2"/>
      <c r="R450" s="2"/>
      <c r="S450" s="2" t="s">
        <v>1562</v>
      </c>
      <c r="U450" s="2" t="s">
        <v>1423</v>
      </c>
    </row>
    <row r="451" spans="2:21" ht="76.5" x14ac:dyDescent="0.25">
      <c r="B451" s="12"/>
      <c r="C451" s="13" t="str">
        <f t="shared" si="31"/>
        <v>x</v>
      </c>
      <c r="D451" s="14" t="str">
        <f t="shared" si="32"/>
        <v>#Matete Nro 27
El pájaro le emite su sonido
7 letras
#Juegodepalabras #adivinanzas #crucigramas</v>
      </c>
      <c r="E451" s="17"/>
      <c r="F451" s="17">
        <f t="shared" si="33"/>
        <v>96</v>
      </c>
      <c r="G451" s="6">
        <v>1131211</v>
      </c>
      <c r="H451" s="1">
        <v>27</v>
      </c>
      <c r="I451" s="2" t="s">
        <v>98</v>
      </c>
      <c r="J451" s="2" t="s">
        <v>98</v>
      </c>
      <c r="K451" s="2" t="s">
        <v>99</v>
      </c>
      <c r="L451" s="2">
        <f t="shared" si="34"/>
        <v>7</v>
      </c>
      <c r="M451" s="2" t="s">
        <v>39</v>
      </c>
      <c r="N451" s="2" t="s">
        <v>3</v>
      </c>
      <c r="O451" s="1">
        <v>3</v>
      </c>
      <c r="P451" s="2" t="s">
        <v>100</v>
      </c>
      <c r="Q451" s="2"/>
      <c r="R451" s="2"/>
      <c r="S451" s="2" t="s">
        <v>101</v>
      </c>
      <c r="U451" s="2" t="s">
        <v>7</v>
      </c>
    </row>
    <row r="452" spans="2:21" ht="89.25" x14ac:dyDescent="0.25">
      <c r="B452" s="12"/>
      <c r="C452" s="13" t="str">
        <f t="shared" si="31"/>
        <v>x</v>
      </c>
      <c r="D452" s="14" t="str">
        <f t="shared" si="32"/>
        <v>#Matete Nro 35
Proponga simultáneamente dos competencias
7 letras
#Juegodepalabras #adivinanzas #crucigramas</v>
      </c>
      <c r="E452" s="17"/>
      <c r="F452" s="17">
        <f t="shared" si="33"/>
        <v>109</v>
      </c>
      <c r="G452" s="6">
        <v>1144280</v>
      </c>
      <c r="H452" s="1">
        <v>35</v>
      </c>
      <c r="I452" s="2" t="s">
        <v>129</v>
      </c>
      <c r="J452" s="2" t="s">
        <v>129</v>
      </c>
      <c r="K452" s="2" t="s">
        <v>130</v>
      </c>
      <c r="L452" s="2">
        <f t="shared" si="34"/>
        <v>7</v>
      </c>
      <c r="M452" s="2" t="s">
        <v>39</v>
      </c>
      <c r="N452" s="2" t="s">
        <v>3</v>
      </c>
      <c r="O452" s="1">
        <v>3</v>
      </c>
      <c r="P452" s="2"/>
      <c r="Q452" s="2"/>
      <c r="R452" s="2"/>
      <c r="S452" s="2" t="s">
        <v>131</v>
      </c>
      <c r="U452" s="2" t="s">
        <v>7</v>
      </c>
    </row>
    <row r="453" spans="2:21" ht="89.25" x14ac:dyDescent="0.25">
      <c r="B453" s="12"/>
      <c r="C453" s="13" t="str">
        <f t="shared" si="31"/>
        <v>x</v>
      </c>
      <c r="D453" s="14" t="str">
        <f t="shared" si="32"/>
        <v>#Matete Nro 388
Me retiré si hago el sonido del pollo
10 letras
#Juegodepalabras #adivinanzas #crucigramas</v>
      </c>
      <c r="E453" s="17"/>
      <c r="F453" s="17">
        <f t="shared" si="33"/>
        <v>107</v>
      </c>
      <c r="G453" s="6">
        <v>1151242</v>
      </c>
      <c r="H453" s="1">
        <v>388</v>
      </c>
      <c r="I453" s="2" t="s">
        <v>1200</v>
      </c>
      <c r="J453" s="2" t="s">
        <v>1200</v>
      </c>
      <c r="K453" s="2" t="s">
        <v>1201</v>
      </c>
      <c r="L453" s="2">
        <f t="shared" si="34"/>
        <v>10</v>
      </c>
      <c r="M453" s="2"/>
      <c r="N453" s="2" t="s">
        <v>83</v>
      </c>
      <c r="O453" s="1">
        <v>29</v>
      </c>
      <c r="P453" s="2"/>
      <c r="Q453" s="2"/>
      <c r="R453" s="2"/>
      <c r="S453" s="2" t="s">
        <v>1202</v>
      </c>
      <c r="U453" s="2" t="s">
        <v>740</v>
      </c>
    </row>
    <row r="454" spans="2:21" ht="76.5" x14ac:dyDescent="0.25">
      <c r="B454" s="15"/>
      <c r="C454" s="13" t="str">
        <f t="shared" si="31"/>
        <v>x</v>
      </c>
      <c r="D454" s="14" t="str">
        <f t="shared" si="32"/>
        <v>#Matete Nro 8
Pájaro de la risa corta
5 letras
#Juegodepalabras #adivinanzas #crucigramas</v>
      </c>
      <c r="E454" s="17"/>
      <c r="F454" s="17">
        <f t="shared" si="33"/>
        <v>90</v>
      </c>
      <c r="G454" s="6">
        <v>1154999</v>
      </c>
      <c r="H454" s="1">
        <v>8</v>
      </c>
      <c r="I454" s="2" t="s">
        <v>29</v>
      </c>
      <c r="J454" s="2" t="s">
        <v>29</v>
      </c>
      <c r="K454" s="2" t="s">
        <v>30</v>
      </c>
      <c r="L454" s="2">
        <f t="shared" si="34"/>
        <v>5</v>
      </c>
      <c r="M454" s="2" t="s">
        <v>2</v>
      </c>
      <c r="N454" s="2" t="s">
        <v>3</v>
      </c>
      <c r="O454" s="1">
        <v>1</v>
      </c>
      <c r="P454" s="2" t="s">
        <v>31</v>
      </c>
      <c r="Q454" s="2"/>
      <c r="R454" s="2"/>
      <c r="S454" s="2" t="s">
        <v>32</v>
      </c>
      <c r="U454" s="2" t="s">
        <v>7</v>
      </c>
    </row>
    <row r="455" spans="2:21" ht="89.25" x14ac:dyDescent="0.25">
      <c r="B455" s="12"/>
      <c r="C455" s="13" t="str">
        <f t="shared" si="31"/>
        <v>x</v>
      </c>
      <c r="D455" s="14" t="str">
        <f t="shared" si="32"/>
        <v>#Matete Nro 195
Vocal que cuando se despega del piso tiene nietos
6 letras
#Juegodepalabras #adivinanzas #crucigramas</v>
      </c>
      <c r="E455" s="17"/>
      <c r="F455" s="17">
        <f t="shared" si="33"/>
        <v>118</v>
      </c>
      <c r="G455" s="6">
        <v>1155588</v>
      </c>
      <c r="H455" s="1">
        <v>195</v>
      </c>
      <c r="I455" s="2" t="s">
        <v>672</v>
      </c>
      <c r="J455" s="2" t="s">
        <v>672</v>
      </c>
      <c r="K455" s="2" t="s">
        <v>673</v>
      </c>
      <c r="L455" s="2">
        <f t="shared" si="34"/>
        <v>6</v>
      </c>
      <c r="M455" s="2"/>
      <c r="N455" s="2" t="s">
        <v>3</v>
      </c>
      <c r="O455" s="1">
        <v>16</v>
      </c>
      <c r="P455" s="2" t="s">
        <v>674</v>
      </c>
      <c r="Q455" s="2"/>
      <c r="R455" s="2"/>
      <c r="S455" s="2" t="s">
        <v>675</v>
      </c>
      <c r="U455" s="2" t="s">
        <v>7</v>
      </c>
    </row>
    <row r="456" spans="2:21" ht="102" x14ac:dyDescent="0.25">
      <c r="B456" s="12"/>
      <c r="C456" s="13" t="str">
        <f t="shared" si="31"/>
        <v>x</v>
      </c>
      <c r="D456" s="14" t="str">
        <f t="shared" si="32"/>
        <v>#Matete Nro 574
Piedra ornamental y de uso en joyería que solo deja la buena.
9 letras
#Juegodepalabras #adivinanzas #crucigramas</v>
      </c>
      <c r="E456" s="17"/>
      <c r="F456" s="17">
        <f t="shared" si="33"/>
        <v>130</v>
      </c>
      <c r="G456" s="6">
        <v>1155853</v>
      </c>
      <c r="H456" s="1">
        <v>574</v>
      </c>
      <c r="I456" s="2" t="s">
        <v>1495</v>
      </c>
      <c r="J456" s="2" t="s">
        <v>1495</v>
      </c>
      <c r="K456" s="2" t="s">
        <v>1496</v>
      </c>
      <c r="L456" s="2">
        <f t="shared" si="34"/>
        <v>9</v>
      </c>
      <c r="M456" s="2"/>
      <c r="N456" s="2" t="s">
        <v>3</v>
      </c>
      <c r="O456" s="1">
        <v>34</v>
      </c>
      <c r="P456" s="2"/>
      <c r="Q456" s="2"/>
      <c r="R456" s="2"/>
      <c r="S456" s="2" t="s">
        <v>1497</v>
      </c>
      <c r="U456" s="2" t="s">
        <v>1423</v>
      </c>
    </row>
    <row r="457" spans="2:21" ht="76.5" x14ac:dyDescent="0.25">
      <c r="B457" s="12"/>
      <c r="C457" s="13" t="str">
        <f t="shared" si="31"/>
        <v>x</v>
      </c>
      <c r="D457" s="14" t="str">
        <f t="shared" si="32"/>
        <v>#Matete Nro 478
Bebida alcoholica para los ojos
9 letras
#Juegodepalabras #adivinanzas #crucigramas</v>
      </c>
      <c r="E457" s="17"/>
      <c r="F457" s="17">
        <f t="shared" si="33"/>
        <v>100</v>
      </c>
      <c r="G457" s="6">
        <v>1156760</v>
      </c>
      <c r="H457" s="1">
        <v>478</v>
      </c>
      <c r="I457" s="2" t="s">
        <v>1349</v>
      </c>
      <c r="J457" s="2" t="s">
        <v>1349</v>
      </c>
      <c r="K457" s="2" t="s">
        <v>1350</v>
      </c>
      <c r="L457" s="2">
        <f t="shared" si="34"/>
        <v>9</v>
      </c>
      <c r="M457" s="2"/>
      <c r="N457" s="2" t="s">
        <v>76</v>
      </c>
      <c r="O457" s="1">
        <v>32</v>
      </c>
      <c r="P457" s="2"/>
      <c r="Q457" s="2"/>
      <c r="R457" s="2"/>
      <c r="S457" s="2" t="s">
        <v>1351</v>
      </c>
      <c r="U457" s="2" t="s">
        <v>740</v>
      </c>
    </row>
    <row r="458" spans="2:21" ht="76.5" x14ac:dyDescent="0.25">
      <c r="B458" s="12"/>
      <c r="C458" s="13" t="str">
        <f t="shared" si="31"/>
        <v>x</v>
      </c>
      <c r="D458" s="14" t="str">
        <f t="shared" si="32"/>
        <v>#Matete Nro 43
Comes a la noche un balido
7 letras
#Juegodepalabras #adivinanzas #crucigramas</v>
      </c>
      <c r="E458" s="17"/>
      <c r="F458" s="17">
        <f t="shared" si="33"/>
        <v>94</v>
      </c>
      <c r="G458" s="6">
        <v>1157463</v>
      </c>
      <c r="H458" s="1">
        <v>43</v>
      </c>
      <c r="I458" s="2" t="s">
        <v>156</v>
      </c>
      <c r="J458" s="2" t="s">
        <v>156</v>
      </c>
      <c r="K458" s="2" t="s">
        <v>157</v>
      </c>
      <c r="L458" s="2">
        <f t="shared" si="34"/>
        <v>7</v>
      </c>
      <c r="M458" s="2" t="s">
        <v>39</v>
      </c>
      <c r="N458" s="2" t="s">
        <v>3</v>
      </c>
      <c r="O458" s="1">
        <v>4</v>
      </c>
      <c r="P458" s="2"/>
      <c r="Q458" s="2"/>
      <c r="R458" s="2"/>
      <c r="S458" s="2" t="s">
        <v>158</v>
      </c>
      <c r="U458" s="2" t="s">
        <v>7</v>
      </c>
    </row>
    <row r="459" spans="2:21" ht="89.25" x14ac:dyDescent="0.25">
      <c r="B459" s="12"/>
      <c r="C459" s="13" t="str">
        <f t="shared" si="31"/>
        <v>x</v>
      </c>
      <c r="D459" s="14" t="str">
        <f t="shared" si="32"/>
        <v>#Matete Nro 91
Número de mes anterior a enero
6 letras
#Juegodepalabras #adivinanzas #crucigramas</v>
      </c>
      <c r="E459" s="17"/>
      <c r="F459" s="17">
        <f t="shared" si="33"/>
        <v>98</v>
      </c>
      <c r="G459" s="6">
        <v>1160036</v>
      </c>
      <c r="H459" s="1">
        <v>91</v>
      </c>
      <c r="I459" s="2" t="s">
        <v>321</v>
      </c>
      <c r="J459" s="2" t="s">
        <v>321</v>
      </c>
      <c r="K459" s="2" t="s">
        <v>322</v>
      </c>
      <c r="L459" s="2">
        <f t="shared" si="34"/>
        <v>6</v>
      </c>
      <c r="M459" s="2"/>
      <c r="N459" s="2" t="s">
        <v>76</v>
      </c>
      <c r="O459" s="1">
        <v>9</v>
      </c>
      <c r="P459" s="2"/>
      <c r="Q459" s="2"/>
      <c r="R459" s="2"/>
      <c r="S459" s="2" t="s">
        <v>323</v>
      </c>
      <c r="U459" s="2" t="s">
        <v>7</v>
      </c>
    </row>
    <row r="460" spans="2:21" ht="89.25" x14ac:dyDescent="0.25">
      <c r="B460" s="12"/>
      <c r="C460" s="13" t="str">
        <f t="shared" si="31"/>
        <v>x</v>
      </c>
      <c r="D460" s="14" t="str">
        <f t="shared" si="32"/>
        <v>#Matete Nro 256
Q a la que se le ha quitado lo que le sobra
6 letras
#Juegodepalabras #adivinanzas #crucigramas</v>
      </c>
      <c r="E460" s="17"/>
      <c r="F460" s="17">
        <f t="shared" si="33"/>
        <v>112</v>
      </c>
      <c r="G460" s="6">
        <v>1162836</v>
      </c>
      <c r="H460" s="1">
        <v>256</v>
      </c>
      <c r="I460" s="2" t="s">
        <v>856</v>
      </c>
      <c r="J460" s="2" t="s">
        <v>856</v>
      </c>
      <c r="K460" s="2" t="s">
        <v>857</v>
      </c>
      <c r="L460" s="2">
        <f t="shared" si="34"/>
        <v>6</v>
      </c>
      <c r="M460" s="2"/>
      <c r="N460" s="2" t="s">
        <v>3</v>
      </c>
      <c r="O460" s="1">
        <v>20</v>
      </c>
      <c r="P460" s="2"/>
      <c r="Q460" s="2"/>
      <c r="R460" s="2"/>
      <c r="S460" s="2" t="s">
        <v>858</v>
      </c>
      <c r="U460" s="2" t="s">
        <v>740</v>
      </c>
    </row>
    <row r="461" spans="2:21" ht="89.25" x14ac:dyDescent="0.25">
      <c r="B461" s="12"/>
      <c r="C461" s="13" t="str">
        <f t="shared" si="31"/>
        <v>x</v>
      </c>
      <c r="D461" s="14" t="str">
        <f t="shared" si="32"/>
        <v>#Matete Nro 62
Posee la afirmación o practica natación
10 letras
#Juegodepalabras #adivinanzas #crucigramas</v>
      </c>
      <c r="E461" s="17"/>
      <c r="F461" s="17">
        <f t="shared" si="33"/>
        <v>108</v>
      </c>
      <c r="G461" s="6">
        <v>1163926</v>
      </c>
      <c r="H461" s="1">
        <v>62</v>
      </c>
      <c r="I461" s="2" t="s">
        <v>218</v>
      </c>
      <c r="J461" s="2" t="s">
        <v>218</v>
      </c>
      <c r="K461" s="2" t="s">
        <v>219</v>
      </c>
      <c r="L461" s="2">
        <f t="shared" si="34"/>
        <v>10</v>
      </c>
      <c r="M461" s="2" t="s">
        <v>39</v>
      </c>
      <c r="N461" s="2" t="s">
        <v>83</v>
      </c>
      <c r="O461" s="1">
        <v>6</v>
      </c>
      <c r="P461" s="2"/>
      <c r="Q461" s="2"/>
      <c r="R461" s="2"/>
      <c r="S461" s="2" t="s">
        <v>220</v>
      </c>
      <c r="U461" s="2" t="s">
        <v>7</v>
      </c>
    </row>
    <row r="462" spans="2:21" ht="89.25" x14ac:dyDescent="0.25">
      <c r="B462" s="12"/>
      <c r="C462" s="13" t="str">
        <f t="shared" si="31"/>
        <v>x</v>
      </c>
      <c r="D462" s="14" t="str">
        <f t="shared" si="32"/>
        <v>#Matete Nro 298
Una de las vocales anuda un par
7 letras
#Juegodepalabras #adivinanzas #crucigramas</v>
      </c>
      <c r="E462" s="17"/>
      <c r="F462" s="17">
        <f t="shared" si="33"/>
        <v>100</v>
      </c>
      <c r="G462" s="6">
        <v>1165613</v>
      </c>
      <c r="H462" s="1">
        <v>298</v>
      </c>
      <c r="I462" s="2" t="s">
        <v>987</v>
      </c>
      <c r="J462" s="2" t="s">
        <v>990</v>
      </c>
      <c r="K462" s="2" t="s">
        <v>988</v>
      </c>
      <c r="L462" s="2">
        <f t="shared" si="34"/>
        <v>7</v>
      </c>
      <c r="M462" s="2"/>
      <c r="N462" s="2" t="s">
        <v>83</v>
      </c>
      <c r="O462" s="1">
        <v>23</v>
      </c>
      <c r="P462" s="2"/>
      <c r="Q462" s="2"/>
      <c r="R462" s="2"/>
      <c r="S462" s="2" t="s">
        <v>989</v>
      </c>
      <c r="U462" s="2" t="s">
        <v>740</v>
      </c>
    </row>
    <row r="463" spans="2:21" ht="89.25" x14ac:dyDescent="0.25">
      <c r="B463" s="12"/>
      <c r="C463" s="13" t="str">
        <f t="shared" si="31"/>
        <v>x</v>
      </c>
      <c r="D463" s="14" t="str">
        <f t="shared" si="32"/>
        <v>#Matete Nro 40
Parentesco del gen cuando su hermano tiene un hijo
6 letras
#Juegodepalabras #adivinanzas #crucigramas</v>
      </c>
      <c r="E463" s="17"/>
      <c r="F463" s="17">
        <f t="shared" si="33"/>
        <v>118</v>
      </c>
      <c r="G463" s="6">
        <v>1166144</v>
      </c>
      <c r="H463" s="1">
        <v>40</v>
      </c>
      <c r="I463" s="2" t="s">
        <v>144</v>
      </c>
      <c r="J463" s="2" t="s">
        <v>147</v>
      </c>
      <c r="K463" s="2" t="s">
        <v>145</v>
      </c>
      <c r="L463" s="2">
        <f t="shared" si="34"/>
        <v>6</v>
      </c>
      <c r="M463" s="2" t="s">
        <v>39</v>
      </c>
      <c r="N463" s="2" t="s">
        <v>3</v>
      </c>
      <c r="O463" s="1">
        <v>4</v>
      </c>
      <c r="P463" s="2"/>
      <c r="Q463" s="2"/>
      <c r="R463" s="2"/>
      <c r="S463" s="2" t="s">
        <v>146</v>
      </c>
      <c r="U463" s="2" t="s">
        <v>7</v>
      </c>
    </row>
    <row r="464" spans="2:21" ht="89.25" x14ac:dyDescent="0.25">
      <c r="B464" s="12"/>
      <c r="C464" s="13" t="str">
        <f t="shared" si="31"/>
        <v>x</v>
      </c>
      <c r="D464" s="14" t="str">
        <f t="shared" si="32"/>
        <v>#Matete Nro 30
Perro de seis caras con puntitos
7 letras
#Juegodepalabras #adivinanzas #crucigramas</v>
      </c>
      <c r="E464" s="17"/>
      <c r="F464" s="17">
        <f t="shared" si="33"/>
        <v>100</v>
      </c>
      <c r="G464" s="6">
        <v>1168735</v>
      </c>
      <c r="H464" s="1">
        <v>30</v>
      </c>
      <c r="I464" s="2" t="s">
        <v>110</v>
      </c>
      <c r="J464" s="2" t="s">
        <v>110</v>
      </c>
      <c r="K464" s="2" t="s">
        <v>111</v>
      </c>
      <c r="L464" s="2">
        <f t="shared" si="34"/>
        <v>7</v>
      </c>
      <c r="M464" s="2" t="s">
        <v>2</v>
      </c>
      <c r="N464" s="2" t="s">
        <v>3</v>
      </c>
      <c r="O464" s="1">
        <v>3</v>
      </c>
      <c r="P464" s="2" t="s">
        <v>112</v>
      </c>
      <c r="Q464" s="2"/>
      <c r="R464" s="2"/>
      <c r="S464" s="2" t="s">
        <v>113</v>
      </c>
      <c r="U464" s="2" t="s">
        <v>7</v>
      </c>
    </row>
    <row r="465" spans="2:21" ht="76.5" x14ac:dyDescent="0.25">
      <c r="B465" s="12"/>
      <c r="C465" s="13" t="str">
        <f t="shared" si="31"/>
        <v>x</v>
      </c>
      <c r="D465" s="14" t="str">
        <f t="shared" si="32"/>
        <v>#Matete Nro 688
Me entrega negación
6 letras
#Juegodepalabras #adivinanzas #crucigramas</v>
      </c>
      <c r="E465" s="17"/>
      <c r="F465" s="17">
        <f t="shared" si="33"/>
        <v>88</v>
      </c>
      <c r="G465" s="6">
        <v>1170010</v>
      </c>
      <c r="H465" s="1">
        <v>688</v>
      </c>
      <c r="I465" s="2" t="s">
        <v>1643</v>
      </c>
      <c r="J465" s="2" t="s">
        <v>1646</v>
      </c>
      <c r="K465" s="2" t="s">
        <v>1644</v>
      </c>
      <c r="L465" s="2">
        <f t="shared" si="34"/>
        <v>6</v>
      </c>
      <c r="M465" s="2"/>
      <c r="N465" s="2" t="s">
        <v>83</v>
      </c>
      <c r="O465" s="1">
        <v>36</v>
      </c>
      <c r="P465" s="2"/>
      <c r="Q465" s="2"/>
      <c r="R465" s="2"/>
      <c r="S465" s="2" t="s">
        <v>1645</v>
      </c>
      <c r="U465" s="2" t="s">
        <v>1423</v>
      </c>
    </row>
    <row r="466" spans="2:21" ht="89.25" x14ac:dyDescent="0.25">
      <c r="B466" s="12"/>
      <c r="C466" s="13" t="str">
        <f t="shared" si="31"/>
        <v>x</v>
      </c>
      <c r="D466" s="14" t="str">
        <f t="shared" si="32"/>
        <v>#Matete Nro 314
Clavo algo puntiagudo en el auto inglés
9 letras
#Juegodepalabras #adivinanzas #crucigramas</v>
      </c>
      <c r="E466" s="17"/>
      <c r="F466" s="17">
        <f t="shared" si="33"/>
        <v>108</v>
      </c>
      <c r="G466" s="6">
        <v>1170855</v>
      </c>
      <c r="H466" s="1">
        <v>314</v>
      </c>
      <c r="I466" s="2" t="s">
        <v>1038</v>
      </c>
      <c r="J466" s="2" t="s">
        <v>1038</v>
      </c>
      <c r="K466" s="2" t="s">
        <v>1039</v>
      </c>
      <c r="L466" s="2">
        <f t="shared" si="34"/>
        <v>9</v>
      </c>
      <c r="M466" s="2"/>
      <c r="N466" s="2" t="s">
        <v>195</v>
      </c>
      <c r="O466" s="1">
        <v>25</v>
      </c>
      <c r="P466" s="2"/>
      <c r="Q466" s="2"/>
      <c r="R466" s="2"/>
      <c r="S466" s="2" t="s">
        <v>1040</v>
      </c>
      <c r="U466" s="2" t="s">
        <v>740</v>
      </c>
    </row>
    <row r="467" spans="2:21" ht="102" x14ac:dyDescent="0.25">
      <c r="B467" s="12"/>
      <c r="C467" s="13" t="str">
        <f t="shared" si="31"/>
        <v>x</v>
      </c>
      <c r="D467" s="14" t="str">
        <f t="shared" si="32"/>
        <v>#Matete Nro 327
Arma antigua formada por la nave de Noé y un transporte público
7 letras
#Juegodepalabras #adivinanzas #crucigramas</v>
      </c>
      <c r="E467" s="17"/>
      <c r="F467" s="17">
        <f t="shared" si="33"/>
        <v>132</v>
      </c>
      <c r="G467" s="6">
        <v>1171326</v>
      </c>
      <c r="H467" s="1">
        <v>327</v>
      </c>
      <c r="I467" s="2" t="s">
        <v>1082</v>
      </c>
      <c r="J467" s="2" t="s">
        <v>1082</v>
      </c>
      <c r="K467" s="2" t="s">
        <v>1083</v>
      </c>
      <c r="L467" s="2">
        <f t="shared" si="34"/>
        <v>7</v>
      </c>
      <c r="M467" s="2"/>
      <c r="N467" s="2" t="s">
        <v>3</v>
      </c>
      <c r="O467" s="1">
        <v>27</v>
      </c>
      <c r="P467" s="2"/>
      <c r="Q467" s="2"/>
      <c r="R467" s="2"/>
      <c r="S467" s="2" t="s">
        <v>1084</v>
      </c>
      <c r="U467" s="2" t="s">
        <v>740</v>
      </c>
    </row>
    <row r="468" spans="2:21" ht="89.25" x14ac:dyDescent="0.25">
      <c r="B468" s="12"/>
      <c r="C468" s="13" t="str">
        <f t="shared" si="31"/>
        <v>x</v>
      </c>
      <c r="D468" s="14" t="str">
        <f t="shared" si="32"/>
        <v>#Matete Nro 374
Adquiero un lugar donde se expenden bebidas
9 letras
#Juegodepalabras #adivinanzas #crucigramas</v>
      </c>
      <c r="E468" s="17"/>
      <c r="F468" s="17">
        <f t="shared" si="33"/>
        <v>112</v>
      </c>
      <c r="G468" s="6">
        <v>1172371</v>
      </c>
      <c r="H468" s="1">
        <v>374</v>
      </c>
      <c r="I468" s="2" t="s">
        <v>1175</v>
      </c>
      <c r="J468" s="2" t="s">
        <v>1175</v>
      </c>
      <c r="K468" s="2" t="s">
        <v>1176</v>
      </c>
      <c r="L468" s="2">
        <f t="shared" si="34"/>
        <v>9</v>
      </c>
      <c r="M468" s="2"/>
      <c r="N468" s="2" t="s">
        <v>3</v>
      </c>
      <c r="O468" s="1">
        <v>29</v>
      </c>
      <c r="P468" s="2"/>
      <c r="Q468" s="2"/>
      <c r="R468" s="2"/>
      <c r="S468" s="2" t="s">
        <v>1177</v>
      </c>
      <c r="U468" s="2" t="s">
        <v>740</v>
      </c>
    </row>
    <row r="469" spans="2:21" ht="89.25" x14ac:dyDescent="0.25">
      <c r="B469" s="12"/>
      <c r="C469" s="13" t="str">
        <f t="shared" si="31"/>
        <v>x</v>
      </c>
      <c r="D469" s="14" t="str">
        <f t="shared" si="32"/>
        <v>#Matete Nro 64
La parte inferior es auto en inglés
10 letras
#Juegodepalabras #adivinanzas #crucigramas</v>
      </c>
      <c r="E469" s="17"/>
      <c r="F469" s="17">
        <f t="shared" si="33"/>
        <v>104</v>
      </c>
      <c r="G469" s="6">
        <v>1174678</v>
      </c>
      <c r="H469" s="1">
        <v>64</v>
      </c>
      <c r="I469" s="2" t="s">
        <v>225</v>
      </c>
      <c r="J469" s="2" t="s">
        <v>225</v>
      </c>
      <c r="K469" s="2" t="s">
        <v>226</v>
      </c>
      <c r="L469" s="2">
        <f t="shared" si="34"/>
        <v>10</v>
      </c>
      <c r="M469" s="2" t="s">
        <v>2</v>
      </c>
      <c r="N469" s="2" t="s">
        <v>195</v>
      </c>
      <c r="O469" s="1">
        <v>6</v>
      </c>
      <c r="P469" s="2" t="s">
        <v>227</v>
      </c>
      <c r="Q469" s="2"/>
      <c r="R469" s="2"/>
      <c r="S469" s="2" t="s">
        <v>228</v>
      </c>
      <c r="U469" s="2" t="s">
        <v>7</v>
      </c>
    </row>
    <row r="470" spans="2:21" ht="102" x14ac:dyDescent="0.25">
      <c r="B470" s="12"/>
      <c r="C470" s="13" t="str">
        <f t="shared" si="31"/>
        <v>x</v>
      </c>
      <c r="D470" s="14" t="str">
        <f t="shared" si="32"/>
        <v>#Matete Nro 426
Número que impide la transferencia de un bien a cambio de dinero
7 letras
#Juegodepalabras #adivinanzas #crucigramas</v>
      </c>
      <c r="E470" s="17"/>
      <c r="F470" s="17">
        <f t="shared" si="33"/>
        <v>133</v>
      </c>
      <c r="G470" s="6">
        <v>1176076</v>
      </c>
      <c r="H470" s="1">
        <v>426</v>
      </c>
      <c r="I470" s="2" t="s">
        <v>1264</v>
      </c>
      <c r="J470" s="2" t="s">
        <v>1264</v>
      </c>
      <c r="K470" s="2" t="s">
        <v>1265</v>
      </c>
      <c r="L470" s="2">
        <f t="shared" si="34"/>
        <v>7</v>
      </c>
      <c r="M470" s="2" t="s">
        <v>68</v>
      </c>
      <c r="N470" s="2" t="s">
        <v>3</v>
      </c>
      <c r="O470" s="1">
        <v>30</v>
      </c>
      <c r="P470" s="2"/>
      <c r="Q470" s="2"/>
      <c r="R470" s="2"/>
      <c r="S470" s="2" t="s">
        <v>1266</v>
      </c>
      <c r="U470" s="2" t="s">
        <v>740</v>
      </c>
    </row>
    <row r="471" spans="2:21" ht="76.5" x14ac:dyDescent="0.25">
      <c r="B471" s="12"/>
      <c r="C471" s="13" t="str">
        <f t="shared" si="31"/>
        <v>x</v>
      </c>
      <c r="D471" s="14" t="str">
        <f t="shared" si="32"/>
        <v>#Matete Nro 82
No hay té ni en sí mismo
8 letras
#Juegodepalabras #adivinanzas #crucigramas</v>
      </c>
      <c r="E471" s="17"/>
      <c r="F471" s="17">
        <f t="shared" si="33"/>
        <v>92</v>
      </c>
      <c r="G471" s="6">
        <v>1180428</v>
      </c>
      <c r="H471" s="1">
        <v>82</v>
      </c>
      <c r="I471" s="2" t="s">
        <v>289</v>
      </c>
      <c r="J471" s="2" t="s">
        <v>289</v>
      </c>
      <c r="K471" s="2" t="s">
        <v>290</v>
      </c>
      <c r="L471" s="2">
        <f t="shared" si="34"/>
        <v>8</v>
      </c>
      <c r="M471" s="2" t="s">
        <v>39</v>
      </c>
      <c r="N471" s="2" t="s">
        <v>83</v>
      </c>
      <c r="O471" s="1">
        <v>8</v>
      </c>
      <c r="P471" s="2"/>
      <c r="Q471" s="2"/>
      <c r="R471" s="2"/>
      <c r="S471" s="2" t="s">
        <v>291</v>
      </c>
      <c r="U471" s="2" t="s">
        <v>7</v>
      </c>
    </row>
    <row r="472" spans="2:21" ht="76.5" x14ac:dyDescent="0.25">
      <c r="B472" s="12"/>
      <c r="C472" s="13" t="str">
        <f t="shared" si="31"/>
        <v>x</v>
      </c>
      <c r="D472" s="14" t="str">
        <f t="shared" si="32"/>
        <v>#Matete Nro 554
El que ha sido parido por la k
8 letras
#Juegodepalabras #adivinanzas #crucigramas</v>
      </c>
      <c r="E472" s="17"/>
      <c r="F472" s="17">
        <f t="shared" si="33"/>
        <v>99</v>
      </c>
      <c r="G472" s="6">
        <v>1180634</v>
      </c>
      <c r="H472" s="1">
        <v>554</v>
      </c>
      <c r="I472" s="2" t="s">
        <v>1461</v>
      </c>
      <c r="J472" s="2" t="s">
        <v>1461</v>
      </c>
      <c r="K472" s="2" t="s">
        <v>1462</v>
      </c>
      <c r="L472" s="2">
        <f t="shared" si="34"/>
        <v>8</v>
      </c>
      <c r="M472" s="2" t="s">
        <v>68</v>
      </c>
      <c r="N472" s="2" t="s">
        <v>83</v>
      </c>
      <c r="O472" s="1">
        <v>34</v>
      </c>
      <c r="P472" s="2"/>
      <c r="Q472" s="2"/>
      <c r="R472" s="2"/>
      <c r="S472" s="2" t="s">
        <v>1463</v>
      </c>
      <c r="U472" s="2" t="s">
        <v>1423</v>
      </c>
    </row>
    <row r="473" spans="2:21" ht="89.25" x14ac:dyDescent="0.25">
      <c r="B473" s="12"/>
      <c r="C473" s="13" t="str">
        <f t="shared" si="31"/>
        <v>x</v>
      </c>
      <c r="D473" s="14" t="str">
        <f t="shared" si="32"/>
        <v>#Matete Nro 662
Instrumento musical que no está desempleado
10 letras
#Juegodepalabras #adivinanzas #crucigramas</v>
      </c>
      <c r="E473" s="17"/>
      <c r="F473" s="17">
        <f t="shared" si="33"/>
        <v>113</v>
      </c>
      <c r="G473" s="6">
        <v>1181731</v>
      </c>
      <c r="H473" s="1">
        <v>662</v>
      </c>
      <c r="I473" s="2" t="s">
        <v>1607</v>
      </c>
      <c r="J473" s="2" t="s">
        <v>1610</v>
      </c>
      <c r="K473" s="2" t="s">
        <v>1608</v>
      </c>
      <c r="L473" s="2">
        <f t="shared" si="34"/>
        <v>10</v>
      </c>
      <c r="M473" s="2"/>
      <c r="N473" s="2" t="s">
        <v>3</v>
      </c>
      <c r="O473" s="1">
        <v>35</v>
      </c>
      <c r="P473" s="2"/>
      <c r="Q473" s="2"/>
      <c r="R473" s="2"/>
      <c r="S473" s="2" t="s">
        <v>1609</v>
      </c>
      <c r="U473" s="2" t="s">
        <v>1423</v>
      </c>
    </row>
    <row r="474" spans="2:21" ht="89.25" x14ac:dyDescent="0.25">
      <c r="B474" s="12"/>
      <c r="C474" s="13" t="str">
        <f t="shared" si="31"/>
        <v>x</v>
      </c>
      <c r="D474" s="14" t="str">
        <f t="shared" si="32"/>
        <v>#Matete Nro 130
Asegura el cerebro para que no se mueva
9 letras
#Juegodepalabras #adivinanzas #crucigramas</v>
      </c>
      <c r="E474" s="17"/>
      <c r="F474" s="17">
        <f t="shared" si="33"/>
        <v>108</v>
      </c>
      <c r="G474" s="6">
        <v>1182572</v>
      </c>
      <c r="H474" s="1">
        <v>130</v>
      </c>
      <c r="I474" s="2" t="s">
        <v>461</v>
      </c>
      <c r="J474" s="2" t="s">
        <v>461</v>
      </c>
      <c r="K474" s="2" t="s">
        <v>462</v>
      </c>
      <c r="L474" s="2">
        <f t="shared" si="34"/>
        <v>9</v>
      </c>
      <c r="M474" s="2" t="s">
        <v>360</v>
      </c>
      <c r="N474" s="2" t="s">
        <v>3</v>
      </c>
      <c r="O474" s="1">
        <v>13</v>
      </c>
      <c r="P474" s="2"/>
      <c r="Q474" s="2"/>
      <c r="R474" s="2"/>
      <c r="S474" s="2" t="s">
        <v>463</v>
      </c>
      <c r="U474" s="2" t="s">
        <v>7</v>
      </c>
    </row>
    <row r="475" spans="2:21" ht="89.25" x14ac:dyDescent="0.25">
      <c r="B475" s="12"/>
      <c r="C475" s="13" t="str">
        <f t="shared" si="31"/>
        <v>x</v>
      </c>
      <c r="D475" s="14" t="str">
        <f t="shared" si="32"/>
        <v>#Matete Nro 211
Mucho querer atrapado con sogas
9 letras
#Juegodepalabras #adivinanzas #crucigramas</v>
      </c>
      <c r="E475" s="17"/>
      <c r="F475" s="17">
        <f t="shared" si="33"/>
        <v>100</v>
      </c>
      <c r="G475" s="6">
        <v>1189977</v>
      </c>
      <c r="H475" s="1">
        <v>211</v>
      </c>
      <c r="I475" s="2" t="s">
        <v>720</v>
      </c>
      <c r="J475" s="2" t="s">
        <v>720</v>
      </c>
      <c r="K475" s="2" t="s">
        <v>721</v>
      </c>
      <c r="L475" s="2">
        <f t="shared" si="34"/>
        <v>9</v>
      </c>
      <c r="M475" s="2"/>
      <c r="N475" s="2" t="s">
        <v>3</v>
      </c>
      <c r="O475" s="1">
        <v>17</v>
      </c>
      <c r="P475" s="2"/>
      <c r="Q475" s="2"/>
      <c r="R475" s="2"/>
      <c r="S475" s="2" t="s">
        <v>722</v>
      </c>
      <c r="U475" s="2" t="s">
        <v>7</v>
      </c>
    </row>
    <row r="476" spans="2:21" ht="76.5" x14ac:dyDescent="0.25">
      <c r="B476" s="12"/>
      <c r="C476" s="13" t="str">
        <f t="shared" si="31"/>
        <v>x</v>
      </c>
      <c r="D476" s="14" t="str">
        <f t="shared" si="32"/>
        <v>#Matete Nro 302
Español de withsigned
10 letras
#Juegodepalabras #adivinanzas #crucigramas</v>
      </c>
      <c r="E476" s="17"/>
      <c r="F476" s="17">
        <f t="shared" si="33"/>
        <v>91</v>
      </c>
      <c r="G476" s="6">
        <v>1195735</v>
      </c>
      <c r="H476" s="1">
        <v>302</v>
      </c>
      <c r="I476" s="2" t="s">
        <v>1001</v>
      </c>
      <c r="J476" s="2" t="s">
        <v>1004</v>
      </c>
      <c r="K476" s="2" t="s">
        <v>1002</v>
      </c>
      <c r="L476" s="2">
        <f t="shared" si="34"/>
        <v>10</v>
      </c>
      <c r="M476" s="2"/>
      <c r="N476" s="2" t="s">
        <v>3</v>
      </c>
      <c r="O476" s="1">
        <v>23</v>
      </c>
      <c r="P476" s="2"/>
      <c r="Q476" s="2"/>
      <c r="R476" s="2"/>
      <c r="S476" s="2" t="s">
        <v>1003</v>
      </c>
      <c r="U476" s="2" t="s">
        <v>740</v>
      </c>
    </row>
    <row r="477" spans="2:21" ht="89.25" x14ac:dyDescent="0.25">
      <c r="B477" s="12"/>
      <c r="C477" s="13" t="str">
        <f t="shared" si="31"/>
        <v>x</v>
      </c>
      <c r="D477" s="14" t="str">
        <f t="shared" si="32"/>
        <v>#Matete Nro 502
Acompañado, vende confiando en que le paguen
5 letras
#Juegodepalabras #adivinanzas #crucigramas</v>
      </c>
      <c r="E477" s="17"/>
      <c r="F477" s="17">
        <f t="shared" si="33"/>
        <v>113</v>
      </c>
      <c r="G477" s="6">
        <v>1201486</v>
      </c>
      <c r="H477" s="1">
        <v>502</v>
      </c>
      <c r="I477" s="2" t="s">
        <v>1383</v>
      </c>
      <c r="J477" s="2" t="s">
        <v>1383</v>
      </c>
      <c r="K477" s="2" t="s">
        <v>1384</v>
      </c>
      <c r="L477" s="2">
        <f t="shared" si="34"/>
        <v>5</v>
      </c>
      <c r="M477" s="2"/>
      <c r="N477" s="2" t="s">
        <v>3</v>
      </c>
      <c r="O477" s="1">
        <v>33</v>
      </c>
      <c r="P477" s="2"/>
      <c r="Q477" s="2"/>
      <c r="R477" s="2"/>
      <c r="S477" s="2" t="s">
        <v>1385</v>
      </c>
      <c r="U477" s="2" t="s">
        <v>740</v>
      </c>
    </row>
    <row r="478" spans="2:21" ht="76.5" x14ac:dyDescent="0.25">
      <c r="B478" s="12"/>
      <c r="C478" s="13" t="str">
        <f t="shared" si="31"/>
        <v>x</v>
      </c>
      <c r="D478" s="14" t="str">
        <f t="shared" si="32"/>
        <v>#Matete Nro 273
Proyecto Dios
7 letras
#Juegodepalabras #adivinanzas #crucigramas</v>
      </c>
      <c r="E478" s="17"/>
      <c r="F478" s="17">
        <f t="shared" si="33"/>
        <v>82</v>
      </c>
      <c r="G478" s="6">
        <v>1202554</v>
      </c>
      <c r="H478" s="1">
        <v>273</v>
      </c>
      <c r="I478" s="2" t="s">
        <v>913</v>
      </c>
      <c r="J478" s="2" t="s">
        <v>913</v>
      </c>
      <c r="K478" s="2" t="s">
        <v>914</v>
      </c>
      <c r="L478" s="2">
        <f t="shared" si="34"/>
        <v>7</v>
      </c>
      <c r="M478" s="2"/>
      <c r="N478" s="2" t="s">
        <v>3</v>
      </c>
      <c r="O478" s="1">
        <v>21</v>
      </c>
      <c r="P478" s="2"/>
      <c r="Q478" s="2"/>
      <c r="R478" s="2"/>
      <c r="S478" s="2" t="s">
        <v>915</v>
      </c>
      <c r="U478" s="2" t="s">
        <v>740</v>
      </c>
    </row>
    <row r="479" spans="2:21" ht="76.5" x14ac:dyDescent="0.25">
      <c r="B479" s="12"/>
      <c r="C479" s="13" t="str">
        <f t="shared" si="31"/>
        <v>x</v>
      </c>
      <c r="D479" s="14" t="str">
        <f t="shared" si="32"/>
        <v>#Matete Nro 193
Signo del zodíaco budista
8 letras
#Juegodepalabras #adivinanzas #crucigramas</v>
      </c>
      <c r="E479" s="17"/>
      <c r="F479" s="17">
        <f t="shared" si="33"/>
        <v>94</v>
      </c>
      <c r="G479" s="6">
        <v>1205534</v>
      </c>
      <c r="H479" s="1">
        <v>193</v>
      </c>
      <c r="I479" s="2" t="s">
        <v>666</v>
      </c>
      <c r="J479" s="2" t="s">
        <v>666</v>
      </c>
      <c r="K479" s="2" t="s">
        <v>667</v>
      </c>
      <c r="L479" s="2">
        <f t="shared" si="34"/>
        <v>8</v>
      </c>
      <c r="M479" s="2"/>
      <c r="N479" s="2" t="s">
        <v>3</v>
      </c>
      <c r="O479" s="1">
        <v>16</v>
      </c>
      <c r="P479" s="2"/>
      <c r="Q479" s="2"/>
      <c r="R479" s="2"/>
      <c r="S479" s="2" t="s">
        <v>668</v>
      </c>
      <c r="U479" s="2" t="s">
        <v>7</v>
      </c>
    </row>
    <row r="480" spans="2:21" ht="102" x14ac:dyDescent="0.25">
      <c r="B480" s="12"/>
      <c r="C480" s="13" t="str">
        <f t="shared" si="31"/>
        <v>x</v>
      </c>
      <c r="D480" s="14" t="str">
        <f t="shared" si="32"/>
        <v>#Matete Nro 542
En el futuro me convertiré en una tela de tul para ocultarme de las miradas
8 letras
#Juegodepalabras #adivinanzas #crucigramas</v>
      </c>
      <c r="E480" s="17"/>
      <c r="F480" s="17">
        <f t="shared" si="33"/>
        <v>144</v>
      </c>
      <c r="G480" s="6">
        <v>1206394</v>
      </c>
      <c r="H480" s="1">
        <v>542</v>
      </c>
      <c r="I480" s="2" t="s">
        <v>1439</v>
      </c>
      <c r="J480" s="2" t="s">
        <v>1439</v>
      </c>
      <c r="K480" s="2" t="s">
        <v>1440</v>
      </c>
      <c r="L480" s="2">
        <f t="shared" si="34"/>
        <v>8</v>
      </c>
      <c r="M480" s="2" t="s">
        <v>68</v>
      </c>
      <c r="N480" s="2" t="s">
        <v>3</v>
      </c>
      <c r="O480" s="1">
        <v>34</v>
      </c>
      <c r="P480" s="2"/>
      <c r="Q480" s="2"/>
      <c r="R480" s="2"/>
      <c r="S480" s="2" t="s">
        <v>1441</v>
      </c>
      <c r="U480" s="2" t="s">
        <v>1423</v>
      </c>
    </row>
    <row r="481" spans="1:21" ht="76.5" x14ac:dyDescent="0.25">
      <c r="B481" s="12"/>
      <c r="C481" s="13" t="str">
        <f t="shared" si="31"/>
        <v>x</v>
      </c>
      <c r="D481" s="14" t="str">
        <f t="shared" si="32"/>
        <v>#Matete Nro 223
Litera vacuna
6 letras
#Juegodepalabras #adivinanzas #crucigramas</v>
      </c>
      <c r="E481" s="17"/>
      <c r="F481" s="17">
        <f t="shared" si="33"/>
        <v>82</v>
      </c>
      <c r="G481" s="6">
        <v>1207127</v>
      </c>
      <c r="H481" s="1">
        <v>223</v>
      </c>
      <c r="I481" s="2" t="s">
        <v>759</v>
      </c>
      <c r="J481" s="2" t="s">
        <v>759</v>
      </c>
      <c r="K481" s="2" t="s">
        <v>760</v>
      </c>
      <c r="L481" s="2">
        <f t="shared" si="34"/>
        <v>6</v>
      </c>
      <c r="M481" s="2"/>
      <c r="N481" s="2" t="s">
        <v>3</v>
      </c>
      <c r="O481" s="1">
        <v>18</v>
      </c>
      <c r="P481" s="2"/>
      <c r="Q481" s="2"/>
      <c r="R481" s="2"/>
      <c r="S481" s="2" t="s">
        <v>761</v>
      </c>
      <c r="U481" s="2" t="s">
        <v>740</v>
      </c>
    </row>
    <row r="482" spans="1:21" ht="102" hidden="1" x14ac:dyDescent="0.25">
      <c r="A482" s="3" t="s">
        <v>1723</v>
      </c>
      <c r="B482" s="3">
        <v>44989</v>
      </c>
      <c r="C482" s="13">
        <f t="shared" si="31"/>
        <v>7</v>
      </c>
      <c r="D482" s="14" t="str">
        <f>"#Matete Nro "&amp;H482&amp;CHAR(10)&amp;K482&amp;CHAR(10)&amp;L482&amp;" letras"&amp;CHAR(10)&amp;CHAR(10) &amp; E482</f>
        <v>#Matete Nro 462
Antes de que se congele
7 letras
La mejor manera de festejar si adivinas este Matete es ponerte una media de cada color</v>
      </c>
      <c r="E482" s="19" t="s">
        <v>1809</v>
      </c>
      <c r="F482" s="17">
        <f t="shared" si="33"/>
        <v>136</v>
      </c>
      <c r="G482" s="6">
        <v>1207129</v>
      </c>
      <c r="H482" s="1">
        <v>462</v>
      </c>
      <c r="I482" s="2" t="s">
        <v>1323</v>
      </c>
      <c r="J482" s="2" t="s">
        <v>1323</v>
      </c>
      <c r="K482" s="2" t="s">
        <v>1324</v>
      </c>
      <c r="L482" s="2">
        <f t="shared" si="34"/>
        <v>7</v>
      </c>
      <c r="M482" s="2"/>
      <c r="N482" s="2" t="s">
        <v>76</v>
      </c>
      <c r="O482" s="1">
        <v>31</v>
      </c>
      <c r="P482" s="2"/>
      <c r="Q482" s="2"/>
      <c r="R482" s="2"/>
      <c r="S482" s="2" t="s">
        <v>1325</v>
      </c>
      <c r="U482" s="2" t="s">
        <v>740</v>
      </c>
    </row>
    <row r="483" spans="1:21" ht="89.25" x14ac:dyDescent="0.25">
      <c r="B483" s="12"/>
      <c r="C483" s="13" t="str">
        <f t="shared" si="31"/>
        <v>x</v>
      </c>
      <c r="D483" s="14" t="str">
        <f t="shared" ref="D483:D489" si="35">"#Matete Nro "&amp;H483&amp;CHAR(10)&amp;K483&amp;CHAR(10)&amp;L483&amp;" letras"&amp;CHAR(10)&amp;CHAR(10)&amp;"#Juegodepalabras #adivinanzas #crucigramas"</f>
        <v>#Matete Nro 157
Existencia comparativa de la mujer pícara
10 letras
#Juegodepalabras #adivinanzas #crucigramas</v>
      </c>
      <c r="E483" s="17"/>
      <c r="F483" s="17">
        <f t="shared" si="33"/>
        <v>111</v>
      </c>
      <c r="G483" s="6">
        <v>1208213</v>
      </c>
      <c r="H483" s="1">
        <v>157</v>
      </c>
      <c r="I483" s="2" t="s">
        <v>549</v>
      </c>
      <c r="J483" s="2" t="s">
        <v>549</v>
      </c>
      <c r="K483" s="2" t="s">
        <v>550</v>
      </c>
      <c r="L483" s="2">
        <f t="shared" si="34"/>
        <v>10</v>
      </c>
      <c r="M483" s="2" t="s">
        <v>349</v>
      </c>
      <c r="N483" s="2" t="s">
        <v>83</v>
      </c>
      <c r="O483" s="1">
        <v>14</v>
      </c>
      <c r="P483" s="2"/>
      <c r="Q483" s="2"/>
      <c r="R483" s="2"/>
      <c r="S483" s="2" t="s">
        <v>551</v>
      </c>
      <c r="U483" s="2" t="s">
        <v>7</v>
      </c>
    </row>
    <row r="484" spans="1:21" ht="89.25" x14ac:dyDescent="0.25">
      <c r="B484" s="12"/>
      <c r="C484" s="13" t="str">
        <f t="shared" si="31"/>
        <v>x</v>
      </c>
      <c r="D484" s="14" t="str">
        <f t="shared" si="35"/>
        <v>#Matete Nro 274
Abandonen período geológico de larga duración
8 letras
#Juegodepalabras #adivinanzas #crucigramas</v>
      </c>
      <c r="E484" s="17"/>
      <c r="F484" s="17">
        <f t="shared" si="33"/>
        <v>114</v>
      </c>
      <c r="G484" s="6">
        <v>1213918</v>
      </c>
      <c r="H484" s="1">
        <v>274</v>
      </c>
      <c r="I484" s="2" t="s">
        <v>916</v>
      </c>
      <c r="J484" s="2" t="s">
        <v>919</v>
      </c>
      <c r="K484" s="2" t="s">
        <v>917</v>
      </c>
      <c r="L484" s="2">
        <f t="shared" si="34"/>
        <v>8</v>
      </c>
      <c r="M484" s="2"/>
      <c r="N484" s="2" t="s">
        <v>3</v>
      </c>
      <c r="O484" s="1">
        <v>21</v>
      </c>
      <c r="P484" s="2"/>
      <c r="Q484" s="2"/>
      <c r="R484" s="2"/>
      <c r="S484" s="2" t="s">
        <v>918</v>
      </c>
      <c r="U484" s="2" t="s">
        <v>740</v>
      </c>
    </row>
    <row r="485" spans="1:21" ht="89.25" x14ac:dyDescent="0.25">
      <c r="B485" s="12"/>
      <c r="C485" s="13" t="str">
        <f t="shared" si="31"/>
        <v>x</v>
      </c>
      <c r="D485" s="14" t="str">
        <f t="shared" si="35"/>
        <v>#Matete Nro 444
Título nobiliario que se le da a quien no tiene posesiones
9 letras
#Juegodepalabras #adivinanzas #crucigramas</v>
      </c>
      <c r="E485" s="17"/>
      <c r="F485" s="17">
        <f t="shared" si="33"/>
        <v>127</v>
      </c>
      <c r="G485" s="6">
        <v>1215072</v>
      </c>
      <c r="H485" s="1">
        <v>444</v>
      </c>
      <c r="I485" s="2" t="s">
        <v>1289</v>
      </c>
      <c r="J485" s="2" t="s">
        <v>1289</v>
      </c>
      <c r="K485" s="2" t="s">
        <v>1290</v>
      </c>
      <c r="L485" s="2">
        <f t="shared" si="34"/>
        <v>9</v>
      </c>
      <c r="M485" s="2" t="s">
        <v>68</v>
      </c>
      <c r="N485" s="2" t="s">
        <v>3</v>
      </c>
      <c r="O485" s="1">
        <v>31</v>
      </c>
      <c r="P485" s="2"/>
      <c r="Q485" s="2"/>
      <c r="R485" s="2"/>
      <c r="S485" s="2" t="s">
        <v>1291</v>
      </c>
      <c r="U485" s="2" t="s">
        <v>740</v>
      </c>
    </row>
    <row r="486" spans="1:21" ht="114.75" x14ac:dyDescent="0.25">
      <c r="B486" s="12"/>
      <c r="C486" s="13" t="str">
        <f t="shared" si="31"/>
        <v>x</v>
      </c>
      <c r="D486" s="14" t="str">
        <f t="shared" si="35"/>
        <v>#Matete Nro 700
Negación del fluido hipotético invisible, sin peso y elástico, que se consideraba que llenaba todo el espacio.
6 letras
#Juegodepalabras #adivinanzas #crucigramas</v>
      </c>
      <c r="E486" s="17"/>
      <c r="F486" s="17">
        <f t="shared" si="33"/>
        <v>179</v>
      </c>
      <c r="G486" s="6">
        <v>1216032</v>
      </c>
      <c r="H486" s="1">
        <v>700</v>
      </c>
      <c r="I486" s="2" t="s">
        <v>1663</v>
      </c>
      <c r="J486" s="2" t="s">
        <v>1663</v>
      </c>
      <c r="K486" s="2" t="s">
        <v>1664</v>
      </c>
      <c r="L486" s="2">
        <f t="shared" si="34"/>
        <v>6</v>
      </c>
      <c r="M486" s="2" t="s">
        <v>349</v>
      </c>
      <c r="N486" s="2" t="s">
        <v>3</v>
      </c>
      <c r="O486" s="1">
        <v>36</v>
      </c>
      <c r="P486" s="2"/>
      <c r="Q486" s="2"/>
      <c r="R486" s="2"/>
      <c r="S486" s="2" t="s">
        <v>1665</v>
      </c>
      <c r="U486" s="2" t="s">
        <v>1423</v>
      </c>
    </row>
    <row r="487" spans="1:21" ht="89.25" x14ac:dyDescent="0.25">
      <c r="B487" s="12"/>
      <c r="C487" s="13" t="str">
        <f t="shared" si="31"/>
        <v>x</v>
      </c>
      <c r="D487" s="14" t="str">
        <f t="shared" si="35"/>
        <v>#Matete Nro 221
Medio sonido del grillo que ilumina de día
6 letras
#Juegodepalabras #adivinanzas #crucigramas</v>
      </c>
      <c r="E487" s="17"/>
      <c r="F487" s="17">
        <f t="shared" si="33"/>
        <v>111</v>
      </c>
      <c r="G487" s="6">
        <v>1219533</v>
      </c>
      <c r="H487" s="1">
        <v>221</v>
      </c>
      <c r="I487" s="2" t="s">
        <v>753</v>
      </c>
      <c r="J487" s="2" t="s">
        <v>753</v>
      </c>
      <c r="K487" s="2" t="s">
        <v>754</v>
      </c>
      <c r="L487" s="2">
        <f t="shared" si="34"/>
        <v>6</v>
      </c>
      <c r="M487" s="2" t="s">
        <v>349</v>
      </c>
      <c r="N487" s="2" t="s">
        <v>3</v>
      </c>
      <c r="O487" s="1">
        <v>18</v>
      </c>
      <c r="P487" s="2"/>
      <c r="Q487" s="2"/>
      <c r="R487" s="2"/>
      <c r="S487" s="2" t="s">
        <v>755</v>
      </c>
      <c r="U487" s="2" t="s">
        <v>740</v>
      </c>
    </row>
    <row r="488" spans="1:21" ht="89.25" x14ac:dyDescent="0.25">
      <c r="B488" s="12"/>
      <c r="C488" s="13" t="str">
        <f t="shared" si="31"/>
        <v>x</v>
      </c>
      <c r="D488" s="14" t="str">
        <f t="shared" si="35"/>
        <v>#Matete Nro 99
Pido al perro que diga unidad de información
9 letras
#Juegodepalabras #adivinanzas #crucigramas</v>
      </c>
      <c r="E488" s="17"/>
      <c r="F488" s="17">
        <f t="shared" si="33"/>
        <v>112</v>
      </c>
      <c r="G488" s="6">
        <v>1221159</v>
      </c>
      <c r="H488" s="1">
        <v>99</v>
      </c>
      <c r="I488" s="2" t="s">
        <v>352</v>
      </c>
      <c r="J488" s="2" t="s">
        <v>352</v>
      </c>
      <c r="K488" s="2" t="s">
        <v>353</v>
      </c>
      <c r="L488" s="2">
        <f t="shared" si="34"/>
        <v>9</v>
      </c>
      <c r="M488" s="2"/>
      <c r="N488" s="2" t="s">
        <v>83</v>
      </c>
      <c r="O488" s="1">
        <v>10</v>
      </c>
      <c r="P488" s="2"/>
      <c r="Q488" s="2"/>
      <c r="R488" s="2"/>
      <c r="S488" s="2" t="s">
        <v>354</v>
      </c>
      <c r="U488" s="2" t="s">
        <v>7</v>
      </c>
    </row>
    <row r="489" spans="1:21" ht="76.5" x14ac:dyDescent="0.25">
      <c r="B489" s="12"/>
      <c r="C489" s="13" t="str">
        <f t="shared" si="31"/>
        <v>x</v>
      </c>
      <c r="D489" s="14" t="str">
        <f t="shared" si="35"/>
        <v>#Matete Nro 317
Repitan lo que comen
8 letras
#Juegodepalabras #adivinanzas #crucigramas</v>
      </c>
      <c r="E489" s="17"/>
      <c r="F489" s="17">
        <f t="shared" si="33"/>
        <v>89</v>
      </c>
      <c r="G489" s="6">
        <v>1223053</v>
      </c>
      <c r="H489" s="1">
        <v>317</v>
      </c>
      <c r="I489" s="2" t="s">
        <v>1047</v>
      </c>
      <c r="J489" s="2" t="s">
        <v>1050</v>
      </c>
      <c r="K489" s="2" t="s">
        <v>1048</v>
      </c>
      <c r="L489" s="2">
        <f t="shared" si="34"/>
        <v>8</v>
      </c>
      <c r="M489" s="2"/>
      <c r="N489" s="2" t="s">
        <v>3</v>
      </c>
      <c r="O489" s="1">
        <v>25</v>
      </c>
      <c r="P489" s="2"/>
      <c r="Q489" s="2"/>
      <c r="R489" s="2"/>
      <c r="S489" s="2" t="s">
        <v>1049</v>
      </c>
      <c r="U489" s="2" t="s">
        <v>740</v>
      </c>
    </row>
    <row r="490" spans="1:21" x14ac:dyDescent="0.25">
      <c r="C490" s="14"/>
      <c r="D490" s="17"/>
      <c r="E490" s="17"/>
      <c r="F490" s="17"/>
    </row>
    <row r="491" spans="1:21" x14ac:dyDescent="0.25">
      <c r="C491" s="14"/>
      <c r="D491" s="17"/>
      <c r="E491" s="17"/>
      <c r="F491" s="17"/>
    </row>
    <row r="492" spans="1:21" x14ac:dyDescent="0.25">
      <c r="C492" s="14"/>
      <c r="D492" s="17"/>
      <c r="E492" s="17"/>
      <c r="F492" s="17"/>
    </row>
    <row r="493" spans="1:21" x14ac:dyDescent="0.25">
      <c r="C493" s="14"/>
      <c r="D493" s="17"/>
      <c r="E493" s="17"/>
      <c r="F493" s="17"/>
    </row>
    <row r="494" spans="1:21" x14ac:dyDescent="0.25">
      <c r="C494" s="14"/>
      <c r="D494" s="17"/>
      <c r="E494" s="17"/>
      <c r="F494" s="17"/>
    </row>
    <row r="495" spans="1:21" x14ac:dyDescent="0.25">
      <c r="C495" s="14"/>
      <c r="D495" s="17"/>
      <c r="E495" s="17"/>
      <c r="F495" s="17"/>
    </row>
    <row r="496" spans="1:21" x14ac:dyDescent="0.25">
      <c r="C496" s="14"/>
      <c r="D496" s="17"/>
      <c r="E496" s="17"/>
      <c r="F496" s="17"/>
    </row>
    <row r="497" spans="3:6" x14ac:dyDescent="0.25">
      <c r="C497" s="14"/>
      <c r="D497" s="17"/>
      <c r="E497" s="17"/>
      <c r="F497" s="17"/>
    </row>
    <row r="498" spans="3:6" x14ac:dyDescent="0.25">
      <c r="C498" s="14"/>
      <c r="D498" s="17"/>
      <c r="E498" s="17"/>
      <c r="F498" s="17"/>
    </row>
    <row r="499" spans="3:6" x14ac:dyDescent="0.25">
      <c r="C499" s="14"/>
      <c r="D499" s="17"/>
      <c r="E499" s="17"/>
      <c r="F499" s="17"/>
    </row>
    <row r="500" spans="3:6" x14ac:dyDescent="0.25">
      <c r="C500" s="14"/>
      <c r="D500" s="17"/>
      <c r="E500" s="17"/>
      <c r="F500" s="17"/>
    </row>
    <row r="501" spans="3:6" x14ac:dyDescent="0.25">
      <c r="C501" s="14"/>
      <c r="D501" s="17"/>
      <c r="E501" s="17"/>
      <c r="F501" s="17"/>
    </row>
    <row r="502" spans="3:6" x14ac:dyDescent="0.25">
      <c r="C502" s="14"/>
      <c r="D502" s="17"/>
      <c r="E502" s="17"/>
      <c r="F502" s="17"/>
    </row>
    <row r="503" spans="3:6" x14ac:dyDescent="0.25">
      <c r="C503" s="14"/>
      <c r="D503" s="17"/>
      <c r="E503" s="17"/>
      <c r="F503" s="17"/>
    </row>
    <row r="504" spans="3:6" x14ac:dyDescent="0.25">
      <c r="C504" s="14"/>
      <c r="D504" s="17"/>
      <c r="E504" s="17"/>
      <c r="F504" s="17"/>
    </row>
    <row r="505" spans="3:6" x14ac:dyDescent="0.25">
      <c r="C505" s="14"/>
      <c r="D505" s="17"/>
      <c r="E505" s="17"/>
      <c r="F505" s="17"/>
    </row>
    <row r="506" spans="3:6" x14ac:dyDescent="0.25">
      <c r="C506" s="14"/>
      <c r="D506" s="17"/>
      <c r="E506" s="17"/>
      <c r="F506" s="17"/>
    </row>
    <row r="507" spans="3:6" x14ac:dyDescent="0.25">
      <c r="C507" s="14"/>
      <c r="D507" s="17"/>
      <c r="E507" s="17"/>
      <c r="F507" s="17"/>
    </row>
    <row r="508" spans="3:6" x14ac:dyDescent="0.25">
      <c r="C508" s="14"/>
      <c r="D508" s="17"/>
      <c r="E508" s="17"/>
      <c r="F508" s="17"/>
    </row>
    <row r="509" spans="3:6" x14ac:dyDescent="0.25">
      <c r="C509" s="14"/>
      <c r="D509" s="17"/>
      <c r="E509" s="17"/>
      <c r="F509" s="17"/>
    </row>
    <row r="510" spans="3:6" x14ac:dyDescent="0.25">
      <c r="C510" s="14"/>
      <c r="D510" s="17"/>
      <c r="E510" s="17"/>
      <c r="F510" s="17"/>
    </row>
    <row r="511" spans="3:6" x14ac:dyDescent="0.25">
      <c r="C511" s="14"/>
      <c r="D511" s="17"/>
      <c r="E511" s="17"/>
      <c r="F511" s="17"/>
    </row>
    <row r="512" spans="3:6" x14ac:dyDescent="0.25">
      <c r="C512" s="14"/>
      <c r="D512" s="17"/>
      <c r="E512" s="17"/>
      <c r="F512" s="17"/>
    </row>
    <row r="513" spans="3:6" x14ac:dyDescent="0.25">
      <c r="C513" s="14"/>
      <c r="D513" s="17"/>
      <c r="E513" s="17"/>
      <c r="F513" s="17"/>
    </row>
    <row r="514" spans="3:6" x14ac:dyDescent="0.25">
      <c r="C514" s="14"/>
      <c r="D514" s="17"/>
      <c r="E514" s="17"/>
      <c r="F514" s="17"/>
    </row>
    <row r="515" spans="3:6" x14ac:dyDescent="0.25">
      <c r="C515" s="14"/>
      <c r="D515" s="17"/>
      <c r="E515" s="17"/>
      <c r="F515" s="17"/>
    </row>
    <row r="516" spans="3:6" x14ac:dyDescent="0.25">
      <c r="C516" s="14"/>
      <c r="D516" s="17"/>
      <c r="E516" s="17"/>
      <c r="F516" s="17"/>
    </row>
    <row r="517" spans="3:6" x14ac:dyDescent="0.25">
      <c r="C517" s="14"/>
      <c r="D517" s="17"/>
      <c r="E517" s="17"/>
      <c r="F517" s="17"/>
    </row>
    <row r="518" spans="3:6" x14ac:dyDescent="0.25">
      <c r="C518" s="14"/>
      <c r="D518" s="17"/>
      <c r="E518" s="17"/>
      <c r="F518" s="17"/>
    </row>
    <row r="519" spans="3:6" x14ac:dyDescent="0.25">
      <c r="C519" s="14"/>
      <c r="D519" s="17"/>
      <c r="E519" s="17"/>
      <c r="F519" s="17"/>
    </row>
    <row r="520" spans="3:6" x14ac:dyDescent="0.25">
      <c r="C520" s="14"/>
      <c r="D520" s="17"/>
      <c r="E520" s="17"/>
      <c r="F520" s="17"/>
    </row>
    <row r="521" spans="3:6" x14ac:dyDescent="0.25">
      <c r="C521" s="14"/>
      <c r="D521" s="17"/>
      <c r="E521" s="17"/>
      <c r="F521" s="17"/>
    </row>
    <row r="522" spans="3:6" x14ac:dyDescent="0.25">
      <c r="C522" s="14"/>
      <c r="D522" s="17"/>
      <c r="E522" s="17"/>
      <c r="F522" s="17"/>
    </row>
    <row r="523" spans="3:6" x14ac:dyDescent="0.25">
      <c r="C523" s="14"/>
      <c r="D523" s="17"/>
      <c r="E523" s="17"/>
      <c r="F523" s="17"/>
    </row>
    <row r="524" spans="3:6" x14ac:dyDescent="0.25">
      <c r="C524" s="14"/>
      <c r="D524" s="17"/>
      <c r="E524" s="17"/>
      <c r="F524" s="17"/>
    </row>
    <row r="525" spans="3:6" x14ac:dyDescent="0.25">
      <c r="C525" s="14"/>
      <c r="D525" s="17"/>
      <c r="E525" s="17"/>
      <c r="F525" s="17"/>
    </row>
    <row r="526" spans="3:6" x14ac:dyDescent="0.25">
      <c r="C526" s="14"/>
      <c r="D526" s="17"/>
      <c r="E526" s="17"/>
      <c r="F526" s="17"/>
    </row>
    <row r="527" spans="3:6" x14ac:dyDescent="0.25">
      <c r="C527" s="14"/>
      <c r="D527" s="17"/>
      <c r="E527" s="17"/>
      <c r="F527" s="17"/>
    </row>
    <row r="528" spans="3:6" x14ac:dyDescent="0.25">
      <c r="C528" s="14"/>
      <c r="D528" s="17"/>
      <c r="E528" s="17"/>
      <c r="F528" s="17"/>
    </row>
    <row r="529" spans="3:6" x14ac:dyDescent="0.25">
      <c r="C529" s="14"/>
      <c r="D529" s="17"/>
      <c r="E529" s="17"/>
      <c r="F529" s="17"/>
    </row>
    <row r="530" spans="3:6" x14ac:dyDescent="0.25">
      <c r="C530" s="14"/>
      <c r="D530" s="17"/>
      <c r="E530" s="17"/>
      <c r="F530" s="17"/>
    </row>
    <row r="531" spans="3:6" x14ac:dyDescent="0.25">
      <c r="C531" s="14"/>
      <c r="D531" s="17"/>
      <c r="E531" s="17"/>
      <c r="F531" s="17"/>
    </row>
    <row r="532" spans="3:6" x14ac:dyDescent="0.25">
      <c r="C532" s="14"/>
      <c r="D532" s="17"/>
      <c r="E532" s="17"/>
      <c r="F532" s="17"/>
    </row>
    <row r="533" spans="3:6" x14ac:dyDescent="0.25">
      <c r="C533" s="14"/>
      <c r="D533" s="17"/>
      <c r="E533" s="17"/>
      <c r="F533" s="17"/>
    </row>
    <row r="534" spans="3:6" x14ac:dyDescent="0.25">
      <c r="C534" s="14"/>
      <c r="D534" s="17"/>
      <c r="E534" s="17"/>
      <c r="F534" s="17"/>
    </row>
    <row r="535" spans="3:6" x14ac:dyDescent="0.25">
      <c r="C535" s="14"/>
      <c r="D535" s="17"/>
      <c r="E535" s="17"/>
      <c r="F535" s="17"/>
    </row>
    <row r="536" spans="3:6" x14ac:dyDescent="0.25">
      <c r="C536" s="14"/>
      <c r="D536" s="17"/>
      <c r="E536" s="17"/>
      <c r="F536" s="17"/>
    </row>
    <row r="537" spans="3:6" x14ac:dyDescent="0.25">
      <c r="C537" s="14"/>
      <c r="D537" s="17"/>
      <c r="E537" s="17"/>
      <c r="F537" s="17"/>
    </row>
    <row r="538" spans="3:6" x14ac:dyDescent="0.25">
      <c r="C538" s="14"/>
      <c r="D538" s="17"/>
      <c r="E538" s="17"/>
      <c r="F538" s="17"/>
    </row>
    <row r="539" spans="3:6" x14ac:dyDescent="0.25">
      <c r="C539" s="14"/>
      <c r="D539" s="17"/>
      <c r="E539" s="17"/>
      <c r="F539" s="17"/>
    </row>
    <row r="540" spans="3:6" x14ac:dyDescent="0.25">
      <c r="C540" s="14"/>
      <c r="D540" s="17"/>
      <c r="E540" s="17"/>
      <c r="F540" s="17"/>
    </row>
    <row r="541" spans="3:6" x14ac:dyDescent="0.25">
      <c r="C541" s="14"/>
      <c r="D541" s="17"/>
      <c r="E541" s="17"/>
      <c r="F541" s="17"/>
    </row>
    <row r="542" spans="3:6" x14ac:dyDescent="0.25">
      <c r="C542" s="14"/>
      <c r="D542" s="17"/>
      <c r="E542" s="17"/>
      <c r="F542" s="17"/>
    </row>
    <row r="543" spans="3:6" x14ac:dyDescent="0.25">
      <c r="C543" s="14"/>
      <c r="D543" s="17"/>
      <c r="E543" s="17"/>
      <c r="F543" s="17"/>
    </row>
    <row r="544" spans="3:6" x14ac:dyDescent="0.25">
      <c r="C544" s="14"/>
      <c r="D544" s="17"/>
      <c r="E544" s="17"/>
      <c r="F544" s="17"/>
    </row>
    <row r="545" spans="3:6" x14ac:dyDescent="0.25">
      <c r="C545" s="14"/>
      <c r="D545" s="17"/>
      <c r="E545" s="17"/>
      <c r="F545" s="17"/>
    </row>
    <row r="546" spans="3:6" x14ac:dyDescent="0.25">
      <c r="C546" s="14"/>
      <c r="D546" s="17"/>
      <c r="E546" s="17"/>
      <c r="F546" s="17"/>
    </row>
    <row r="547" spans="3:6" x14ac:dyDescent="0.25">
      <c r="C547" s="14"/>
      <c r="D547" s="17"/>
      <c r="E547" s="17"/>
      <c r="F547" s="17"/>
    </row>
    <row r="548" spans="3:6" x14ac:dyDescent="0.25">
      <c r="C548" s="14"/>
      <c r="D548" s="17"/>
      <c r="E548" s="17"/>
      <c r="F548" s="17"/>
    </row>
    <row r="549" spans="3:6" x14ac:dyDescent="0.25">
      <c r="C549" s="14"/>
      <c r="D549" s="17"/>
      <c r="E549" s="17"/>
      <c r="F549" s="17"/>
    </row>
    <row r="550" spans="3:6" x14ac:dyDescent="0.25">
      <c r="C550" s="14"/>
      <c r="D550" s="17"/>
      <c r="E550" s="17"/>
      <c r="F550" s="17"/>
    </row>
    <row r="551" spans="3:6" x14ac:dyDescent="0.25">
      <c r="C551" s="14"/>
      <c r="D551" s="17"/>
      <c r="E551" s="17"/>
      <c r="F551" s="17"/>
    </row>
    <row r="552" spans="3:6" x14ac:dyDescent="0.25">
      <c r="C552" s="14"/>
      <c r="D552" s="17"/>
      <c r="E552" s="17"/>
      <c r="F552" s="17"/>
    </row>
    <row r="553" spans="3:6" x14ac:dyDescent="0.25">
      <c r="C553" s="14"/>
      <c r="D553" s="17"/>
      <c r="E553" s="17"/>
      <c r="F553" s="17"/>
    </row>
    <row r="554" spans="3:6" x14ac:dyDescent="0.25">
      <c r="C554" s="14"/>
      <c r="D554" s="17"/>
      <c r="E554" s="17"/>
      <c r="F554" s="17"/>
    </row>
    <row r="555" spans="3:6" x14ac:dyDescent="0.25">
      <c r="C555" s="14"/>
      <c r="D555" s="17"/>
      <c r="E555" s="17"/>
      <c r="F555" s="17"/>
    </row>
    <row r="556" spans="3:6" x14ac:dyDescent="0.25">
      <c r="C556" s="14"/>
      <c r="D556" s="17"/>
      <c r="E556" s="17"/>
      <c r="F556" s="17"/>
    </row>
    <row r="557" spans="3:6" x14ac:dyDescent="0.25">
      <c r="C557" s="14"/>
      <c r="D557" s="17"/>
      <c r="E557" s="17"/>
      <c r="F557" s="17"/>
    </row>
    <row r="558" spans="3:6" x14ac:dyDescent="0.25">
      <c r="C558" s="14"/>
      <c r="D558" s="17"/>
      <c r="E558" s="17"/>
      <c r="F558" s="17"/>
    </row>
    <row r="559" spans="3:6" x14ac:dyDescent="0.25">
      <c r="C559" s="14"/>
      <c r="D559" s="17"/>
      <c r="E559" s="17"/>
      <c r="F559" s="17"/>
    </row>
    <row r="560" spans="3:6" x14ac:dyDescent="0.25">
      <c r="C560" s="14"/>
      <c r="D560" s="17"/>
      <c r="E560" s="17"/>
      <c r="F560" s="17"/>
    </row>
    <row r="561" spans="3:6" x14ac:dyDescent="0.25">
      <c r="C561" s="14"/>
      <c r="D561" s="17"/>
      <c r="E561" s="17"/>
      <c r="F561" s="17"/>
    </row>
    <row r="562" spans="3:6" x14ac:dyDescent="0.25">
      <c r="C562" s="14"/>
      <c r="D562" s="17"/>
      <c r="E562" s="17"/>
      <c r="F562" s="17"/>
    </row>
    <row r="563" spans="3:6" x14ac:dyDescent="0.25">
      <c r="C563" s="14"/>
      <c r="D563" s="17"/>
      <c r="E563" s="17"/>
      <c r="F563" s="17"/>
    </row>
    <row r="564" spans="3:6" x14ac:dyDescent="0.25">
      <c r="C564" s="14"/>
      <c r="D564" s="17"/>
      <c r="E564" s="17"/>
      <c r="F564" s="17"/>
    </row>
    <row r="565" spans="3:6" x14ac:dyDescent="0.25">
      <c r="C565" s="14"/>
      <c r="D565" s="17"/>
      <c r="E565" s="17"/>
      <c r="F565" s="17"/>
    </row>
    <row r="566" spans="3:6" x14ac:dyDescent="0.25">
      <c r="C566" s="14"/>
      <c r="D566" s="17"/>
      <c r="E566" s="17"/>
      <c r="F566" s="17"/>
    </row>
    <row r="567" spans="3:6" x14ac:dyDescent="0.25">
      <c r="C567" s="14"/>
      <c r="D567" s="17"/>
      <c r="E567" s="17"/>
      <c r="F567" s="17"/>
    </row>
    <row r="568" spans="3:6" x14ac:dyDescent="0.25">
      <c r="C568" s="14"/>
      <c r="D568" s="17"/>
      <c r="E568" s="17"/>
      <c r="F568" s="17"/>
    </row>
    <row r="569" spans="3:6" x14ac:dyDescent="0.25">
      <c r="C569" s="14"/>
      <c r="D569" s="17"/>
      <c r="E569" s="17"/>
      <c r="F569" s="17"/>
    </row>
    <row r="570" spans="3:6" x14ac:dyDescent="0.25">
      <c r="C570" s="14"/>
      <c r="D570" s="17"/>
      <c r="E570" s="17"/>
      <c r="F570" s="17"/>
    </row>
    <row r="571" spans="3:6" x14ac:dyDescent="0.25">
      <c r="C571" s="14"/>
      <c r="D571" s="17"/>
      <c r="E571" s="17"/>
      <c r="F571" s="17"/>
    </row>
    <row r="572" spans="3:6" x14ac:dyDescent="0.25">
      <c r="C572" s="14"/>
      <c r="D572" s="17"/>
      <c r="E572" s="17"/>
      <c r="F572" s="17"/>
    </row>
    <row r="573" spans="3:6" x14ac:dyDescent="0.25">
      <c r="C573" s="14"/>
      <c r="D573" s="17"/>
      <c r="E573" s="17"/>
      <c r="F573" s="17"/>
    </row>
    <row r="574" spans="3:6" x14ac:dyDescent="0.25">
      <c r="C574" s="14"/>
      <c r="D574" s="17"/>
      <c r="E574" s="17"/>
      <c r="F574" s="17"/>
    </row>
    <row r="575" spans="3:6" x14ac:dyDescent="0.25">
      <c r="C575" s="14"/>
      <c r="D575" s="17"/>
      <c r="E575" s="17"/>
      <c r="F575" s="17"/>
    </row>
    <row r="576" spans="3:6" x14ac:dyDescent="0.25">
      <c r="C576" s="14"/>
      <c r="D576" s="17"/>
      <c r="E576" s="17"/>
      <c r="F576" s="17"/>
    </row>
    <row r="577" spans="3:6" x14ac:dyDescent="0.25">
      <c r="C577" s="14"/>
      <c r="D577" s="17"/>
      <c r="E577" s="17"/>
      <c r="F577" s="17"/>
    </row>
    <row r="578" spans="3:6" x14ac:dyDescent="0.25">
      <c r="C578" s="14"/>
      <c r="D578" s="17"/>
      <c r="E578" s="17"/>
      <c r="F578" s="17"/>
    </row>
    <row r="579" spans="3:6" x14ac:dyDescent="0.25">
      <c r="C579" s="14"/>
      <c r="D579" s="17"/>
      <c r="E579" s="17"/>
      <c r="F579" s="17"/>
    </row>
    <row r="580" spans="3:6" x14ac:dyDescent="0.25">
      <c r="C580" s="14"/>
      <c r="D580" s="17"/>
      <c r="E580" s="17"/>
      <c r="F580" s="17"/>
    </row>
    <row r="581" spans="3:6" x14ac:dyDescent="0.25">
      <c r="C581" s="14"/>
      <c r="D581" s="17"/>
      <c r="E581" s="17"/>
      <c r="F581" s="17"/>
    </row>
    <row r="582" spans="3:6" x14ac:dyDescent="0.25">
      <c r="C582" s="14"/>
      <c r="D582" s="17"/>
      <c r="E582" s="17"/>
      <c r="F582" s="17"/>
    </row>
    <row r="583" spans="3:6" x14ac:dyDescent="0.25">
      <c r="C583" s="14"/>
      <c r="D583" s="17"/>
      <c r="E583" s="17"/>
      <c r="F583" s="17"/>
    </row>
    <row r="584" spans="3:6" x14ac:dyDescent="0.25">
      <c r="C584" s="14"/>
      <c r="D584" s="17"/>
      <c r="E584" s="17"/>
      <c r="F584" s="17"/>
    </row>
    <row r="585" spans="3:6" x14ac:dyDescent="0.25">
      <c r="C585" s="14"/>
      <c r="D585" s="17"/>
      <c r="E585" s="17"/>
      <c r="F585" s="17"/>
    </row>
    <row r="586" spans="3:6" x14ac:dyDescent="0.25">
      <c r="C586" s="14"/>
      <c r="D586" s="17"/>
      <c r="E586" s="17"/>
      <c r="F586" s="17"/>
    </row>
    <row r="587" spans="3:6" x14ac:dyDescent="0.25">
      <c r="C587" s="14"/>
      <c r="D587" s="17"/>
      <c r="E587" s="17"/>
      <c r="F587" s="17"/>
    </row>
    <row r="588" spans="3:6" x14ac:dyDescent="0.25">
      <c r="C588" s="14"/>
      <c r="D588" s="17"/>
      <c r="E588" s="17"/>
      <c r="F588" s="17"/>
    </row>
    <row r="589" spans="3:6" x14ac:dyDescent="0.25">
      <c r="C589" s="14"/>
      <c r="D589" s="17"/>
      <c r="E589" s="17"/>
      <c r="F589" s="17"/>
    </row>
    <row r="590" spans="3:6" x14ac:dyDescent="0.25">
      <c r="C590" s="14"/>
      <c r="D590" s="17"/>
      <c r="E590" s="17"/>
      <c r="F590" s="17"/>
    </row>
    <row r="591" spans="3:6" x14ac:dyDescent="0.25">
      <c r="C591" s="14"/>
      <c r="D591" s="17"/>
      <c r="E591" s="17"/>
      <c r="F591" s="17"/>
    </row>
    <row r="592" spans="3:6" x14ac:dyDescent="0.25">
      <c r="C592" s="14"/>
      <c r="D592" s="17"/>
      <c r="E592" s="17"/>
      <c r="F592" s="17"/>
    </row>
    <row r="593" spans="3:6" x14ac:dyDescent="0.25">
      <c r="C593" s="14"/>
      <c r="D593" s="17"/>
      <c r="E593" s="17"/>
      <c r="F593" s="17"/>
    </row>
    <row r="594" spans="3:6" x14ac:dyDescent="0.25">
      <c r="C594" s="14"/>
      <c r="D594" s="17"/>
      <c r="E594" s="17"/>
      <c r="F594" s="17"/>
    </row>
    <row r="595" spans="3:6" x14ac:dyDescent="0.25">
      <c r="C595" s="14"/>
      <c r="D595" s="17"/>
      <c r="E595" s="17"/>
      <c r="F595" s="17"/>
    </row>
    <row r="596" spans="3:6" x14ac:dyDescent="0.25">
      <c r="C596" s="14"/>
      <c r="D596" s="17"/>
      <c r="E596" s="17"/>
      <c r="F596" s="17"/>
    </row>
    <row r="597" spans="3:6" x14ac:dyDescent="0.25">
      <c r="C597" s="14"/>
      <c r="D597" s="17"/>
      <c r="E597" s="17"/>
      <c r="F597" s="17"/>
    </row>
    <row r="598" spans="3:6" x14ac:dyDescent="0.25">
      <c r="C598" s="14"/>
      <c r="D598" s="17"/>
      <c r="E598" s="17"/>
      <c r="F598" s="17"/>
    </row>
    <row r="599" spans="3:6" x14ac:dyDescent="0.25">
      <c r="C599" s="14"/>
      <c r="D599" s="17"/>
      <c r="E599" s="17"/>
      <c r="F599" s="17"/>
    </row>
    <row r="600" spans="3:6" x14ac:dyDescent="0.25">
      <c r="C600" s="14"/>
      <c r="D600" s="17"/>
      <c r="E600" s="17"/>
      <c r="F600" s="17"/>
    </row>
    <row r="601" spans="3:6" x14ac:dyDescent="0.25">
      <c r="C601" s="14"/>
      <c r="D601" s="17"/>
      <c r="E601" s="17"/>
      <c r="F601" s="17"/>
    </row>
    <row r="602" spans="3:6" x14ac:dyDescent="0.25">
      <c r="C602" s="14"/>
      <c r="D602" s="17"/>
      <c r="E602" s="17"/>
      <c r="F602" s="17"/>
    </row>
    <row r="603" spans="3:6" x14ac:dyDescent="0.25">
      <c r="C603" s="14"/>
      <c r="D603" s="17"/>
      <c r="E603" s="17"/>
      <c r="F603" s="17"/>
    </row>
    <row r="604" spans="3:6" x14ac:dyDescent="0.25">
      <c r="C604" s="14"/>
      <c r="D604" s="17"/>
      <c r="E604" s="17"/>
      <c r="F604" s="17"/>
    </row>
    <row r="605" spans="3:6" x14ac:dyDescent="0.25">
      <c r="C605" s="14"/>
      <c r="D605" s="17"/>
      <c r="E605" s="17"/>
      <c r="F605" s="17"/>
    </row>
    <row r="606" spans="3:6" x14ac:dyDescent="0.25">
      <c r="C606" s="14"/>
      <c r="D606" s="17"/>
      <c r="E606" s="17"/>
      <c r="F606" s="17"/>
    </row>
    <row r="607" spans="3:6" x14ac:dyDescent="0.25">
      <c r="C607" s="14"/>
      <c r="D607" s="17"/>
      <c r="E607" s="17"/>
      <c r="F607" s="17"/>
    </row>
    <row r="608" spans="3:6" x14ac:dyDescent="0.25">
      <c r="C608" s="14"/>
      <c r="D608" s="17"/>
      <c r="E608" s="17"/>
      <c r="F608" s="17"/>
    </row>
    <row r="609" spans="3:6" x14ac:dyDescent="0.25">
      <c r="C609" s="14"/>
      <c r="D609" s="17"/>
      <c r="E609" s="17"/>
      <c r="F609" s="17"/>
    </row>
    <row r="610" spans="3:6" x14ac:dyDescent="0.25">
      <c r="C610" s="14"/>
      <c r="D610" s="17"/>
      <c r="E610" s="17"/>
      <c r="F610" s="17"/>
    </row>
    <row r="611" spans="3:6" x14ac:dyDescent="0.25">
      <c r="C611" s="14"/>
      <c r="D611" s="17"/>
      <c r="E611" s="17"/>
      <c r="F611" s="17"/>
    </row>
    <row r="612" spans="3:6" x14ac:dyDescent="0.25">
      <c r="C612" s="14"/>
      <c r="D612" s="17"/>
      <c r="E612" s="17"/>
      <c r="F612" s="17"/>
    </row>
    <row r="613" spans="3:6" x14ac:dyDescent="0.25">
      <c r="C613" s="14"/>
      <c r="D613" s="17"/>
      <c r="E613" s="17"/>
      <c r="F613" s="17"/>
    </row>
    <row r="614" spans="3:6" x14ac:dyDescent="0.25">
      <c r="C614" s="14"/>
      <c r="D614" s="17"/>
      <c r="E614" s="17"/>
      <c r="F614" s="17"/>
    </row>
    <row r="615" spans="3:6" x14ac:dyDescent="0.25">
      <c r="C615" s="14"/>
      <c r="D615" s="17"/>
      <c r="E615" s="17"/>
      <c r="F615" s="17"/>
    </row>
    <row r="616" spans="3:6" x14ac:dyDescent="0.25">
      <c r="C616" s="14"/>
      <c r="D616" s="17"/>
      <c r="E616" s="17"/>
      <c r="F616" s="17"/>
    </row>
    <row r="617" spans="3:6" x14ac:dyDescent="0.25">
      <c r="C617" s="14"/>
      <c r="D617" s="17"/>
      <c r="E617" s="17"/>
      <c r="F617" s="17"/>
    </row>
    <row r="618" spans="3:6" x14ac:dyDescent="0.25">
      <c r="C618" s="14"/>
      <c r="D618" s="17"/>
      <c r="E618" s="17"/>
      <c r="F618" s="17"/>
    </row>
    <row r="619" spans="3:6" x14ac:dyDescent="0.25">
      <c r="C619" s="14"/>
      <c r="D619" s="17"/>
      <c r="E619" s="17"/>
      <c r="F619" s="17"/>
    </row>
    <row r="620" spans="3:6" x14ac:dyDescent="0.25">
      <c r="C620" s="14"/>
      <c r="D620" s="17"/>
      <c r="E620" s="17"/>
      <c r="F620" s="17"/>
    </row>
    <row r="621" spans="3:6" x14ac:dyDescent="0.25">
      <c r="C621" s="14"/>
      <c r="D621" s="17"/>
      <c r="E621" s="17"/>
      <c r="F621" s="17"/>
    </row>
    <row r="622" spans="3:6" x14ac:dyDescent="0.25">
      <c r="C622" s="14"/>
      <c r="D622" s="17"/>
      <c r="E622" s="17"/>
      <c r="F622" s="17"/>
    </row>
    <row r="623" spans="3:6" x14ac:dyDescent="0.25">
      <c r="C623" s="14"/>
      <c r="D623" s="17"/>
      <c r="E623" s="17"/>
      <c r="F623" s="17"/>
    </row>
    <row r="624" spans="3:6" x14ac:dyDescent="0.25">
      <c r="C624" s="14"/>
      <c r="D624" s="17"/>
      <c r="E624" s="17"/>
      <c r="F624" s="17"/>
    </row>
    <row r="625" spans="3:6" x14ac:dyDescent="0.25">
      <c r="C625" s="14"/>
      <c r="D625" s="17"/>
      <c r="E625" s="17"/>
      <c r="F625" s="17"/>
    </row>
    <row r="626" spans="3:6" x14ac:dyDescent="0.25">
      <c r="C626" s="14"/>
      <c r="D626" s="17"/>
      <c r="E626" s="17"/>
      <c r="F626" s="17"/>
    </row>
    <row r="627" spans="3:6" x14ac:dyDescent="0.25">
      <c r="C627" s="14"/>
      <c r="D627" s="17"/>
      <c r="E627" s="17"/>
      <c r="F627" s="17"/>
    </row>
    <row r="628" spans="3:6" x14ac:dyDescent="0.25">
      <c r="C628" s="14"/>
      <c r="D628" s="17"/>
      <c r="E628" s="17"/>
      <c r="F628" s="17"/>
    </row>
    <row r="629" spans="3:6" x14ac:dyDescent="0.25">
      <c r="C629" s="14"/>
      <c r="D629" s="17"/>
      <c r="E629" s="17"/>
      <c r="F629" s="17"/>
    </row>
    <row r="630" spans="3:6" x14ac:dyDescent="0.25">
      <c r="C630" s="14"/>
      <c r="D630" s="17"/>
      <c r="E630" s="17"/>
      <c r="F630" s="17"/>
    </row>
    <row r="631" spans="3:6" x14ac:dyDescent="0.25">
      <c r="C631" s="14"/>
      <c r="D631" s="17"/>
      <c r="E631" s="17"/>
      <c r="F631" s="17"/>
    </row>
    <row r="632" spans="3:6" x14ac:dyDescent="0.25">
      <c r="C632" s="14"/>
      <c r="D632" s="17"/>
      <c r="E632" s="17"/>
      <c r="F632" s="17"/>
    </row>
    <row r="633" spans="3:6" x14ac:dyDescent="0.25">
      <c r="C633" s="14"/>
      <c r="D633" s="17"/>
      <c r="E633" s="17"/>
      <c r="F633" s="17"/>
    </row>
    <row r="634" spans="3:6" x14ac:dyDescent="0.25">
      <c r="C634" s="14"/>
      <c r="D634" s="17"/>
      <c r="E634" s="17"/>
      <c r="F634" s="17"/>
    </row>
    <row r="635" spans="3:6" x14ac:dyDescent="0.25">
      <c r="C635" s="14"/>
      <c r="D635" s="17"/>
      <c r="E635" s="17"/>
      <c r="F635" s="17"/>
    </row>
    <row r="636" spans="3:6" x14ac:dyDescent="0.25">
      <c r="C636" s="14"/>
      <c r="D636" s="17"/>
      <c r="E636" s="17"/>
      <c r="F636" s="17"/>
    </row>
    <row r="637" spans="3:6" x14ac:dyDescent="0.25">
      <c r="C637" s="14"/>
      <c r="D637" s="17"/>
      <c r="E637" s="17"/>
      <c r="F637" s="17"/>
    </row>
    <row r="638" spans="3:6" x14ac:dyDescent="0.25">
      <c r="C638" s="14"/>
      <c r="D638" s="17"/>
      <c r="E638" s="17"/>
      <c r="F638" s="17"/>
    </row>
    <row r="639" spans="3:6" x14ac:dyDescent="0.25">
      <c r="C639" s="14"/>
      <c r="D639" s="17"/>
      <c r="E639" s="17"/>
      <c r="F639" s="17"/>
    </row>
    <row r="640" spans="3:6" x14ac:dyDescent="0.25">
      <c r="C640" s="14"/>
      <c r="D640" s="17"/>
      <c r="E640" s="17"/>
      <c r="F640" s="17"/>
    </row>
    <row r="641" spans="3:6" x14ac:dyDescent="0.25">
      <c r="C641" s="14"/>
      <c r="D641" s="17"/>
      <c r="E641" s="17"/>
      <c r="F641" s="17"/>
    </row>
    <row r="642" spans="3:6" x14ac:dyDescent="0.25">
      <c r="C642" s="14"/>
      <c r="D642" s="17"/>
      <c r="E642" s="17"/>
      <c r="F642" s="17"/>
    </row>
    <row r="643" spans="3:6" x14ac:dyDescent="0.25">
      <c r="C643" s="14"/>
      <c r="D643" s="17"/>
      <c r="E643" s="17"/>
      <c r="F643" s="17"/>
    </row>
    <row r="644" spans="3:6" x14ac:dyDescent="0.25">
      <c r="C644" s="14"/>
      <c r="D644" s="17"/>
      <c r="E644" s="17"/>
      <c r="F644" s="17"/>
    </row>
    <row r="645" spans="3:6" x14ac:dyDescent="0.25">
      <c r="C645" s="14"/>
      <c r="D645" s="17"/>
      <c r="E645" s="17"/>
      <c r="F645" s="17"/>
    </row>
    <row r="646" spans="3:6" x14ac:dyDescent="0.25">
      <c r="C646" s="14"/>
      <c r="D646" s="17"/>
      <c r="E646" s="17"/>
      <c r="F646" s="17"/>
    </row>
    <row r="647" spans="3:6" x14ac:dyDescent="0.25">
      <c r="C647" s="14"/>
      <c r="D647" s="17"/>
      <c r="E647" s="17"/>
      <c r="F647" s="17"/>
    </row>
    <row r="648" spans="3:6" x14ac:dyDescent="0.25">
      <c r="C648" s="14"/>
      <c r="D648" s="17"/>
      <c r="E648" s="17"/>
      <c r="F648" s="17"/>
    </row>
    <row r="649" spans="3:6" x14ac:dyDescent="0.25">
      <c r="C649" s="14"/>
      <c r="D649" s="17"/>
      <c r="E649" s="17"/>
      <c r="F649" s="17"/>
    </row>
    <row r="650" spans="3:6" x14ac:dyDescent="0.25">
      <c r="C650" s="14"/>
      <c r="D650" s="17"/>
      <c r="E650" s="17"/>
      <c r="F650" s="17"/>
    </row>
    <row r="651" spans="3:6" x14ac:dyDescent="0.25">
      <c r="C651" s="14"/>
      <c r="D651" s="17"/>
      <c r="E651" s="17"/>
      <c r="F651" s="17"/>
    </row>
    <row r="652" spans="3:6" x14ac:dyDescent="0.25">
      <c r="C652" s="14"/>
      <c r="D652" s="17"/>
      <c r="E652" s="17"/>
      <c r="F652" s="17"/>
    </row>
    <row r="653" spans="3:6" x14ac:dyDescent="0.25">
      <c r="C653" s="14"/>
      <c r="D653" s="17"/>
      <c r="E653" s="17"/>
      <c r="F653" s="17"/>
    </row>
    <row r="654" spans="3:6" x14ac:dyDescent="0.25">
      <c r="C654" s="14"/>
      <c r="D654" s="17"/>
      <c r="E654" s="17"/>
      <c r="F654" s="17"/>
    </row>
    <row r="655" spans="3:6" x14ac:dyDescent="0.25">
      <c r="C655" s="14"/>
      <c r="D655" s="17"/>
      <c r="E655" s="17"/>
      <c r="F655" s="17"/>
    </row>
    <row r="656" spans="3:6" x14ac:dyDescent="0.25">
      <c r="C656" s="14"/>
      <c r="D656" s="17"/>
      <c r="E656" s="17"/>
      <c r="F656" s="17"/>
    </row>
    <row r="657" spans="3:6" x14ac:dyDescent="0.25">
      <c r="C657" s="14"/>
      <c r="D657" s="17"/>
      <c r="E657" s="17"/>
      <c r="F657" s="17"/>
    </row>
    <row r="658" spans="3:6" x14ac:dyDescent="0.25">
      <c r="C658" s="14"/>
      <c r="D658" s="17"/>
      <c r="E658" s="17"/>
      <c r="F658" s="17"/>
    </row>
    <row r="659" spans="3:6" x14ac:dyDescent="0.25">
      <c r="C659" s="14"/>
      <c r="D659" s="17"/>
      <c r="E659" s="17"/>
      <c r="F659" s="17"/>
    </row>
    <row r="660" spans="3:6" x14ac:dyDescent="0.25">
      <c r="C660" s="14"/>
      <c r="D660" s="17"/>
      <c r="E660" s="17"/>
      <c r="F660" s="17"/>
    </row>
    <row r="661" spans="3:6" x14ac:dyDescent="0.25">
      <c r="C661" s="14"/>
      <c r="D661" s="17"/>
      <c r="E661" s="17"/>
      <c r="F661" s="17"/>
    </row>
    <row r="662" spans="3:6" x14ac:dyDescent="0.25">
      <c r="C662" s="14"/>
      <c r="D662" s="17"/>
      <c r="E662" s="17"/>
      <c r="F662" s="17"/>
    </row>
    <row r="663" spans="3:6" x14ac:dyDescent="0.25">
      <c r="C663" s="14"/>
      <c r="D663" s="17"/>
      <c r="E663" s="17"/>
      <c r="F663" s="17"/>
    </row>
    <row r="664" spans="3:6" x14ac:dyDescent="0.25">
      <c r="C664" s="14"/>
      <c r="D664" s="17"/>
      <c r="E664" s="17"/>
      <c r="F664" s="17"/>
    </row>
    <row r="665" spans="3:6" x14ac:dyDescent="0.25">
      <c r="C665" s="14"/>
      <c r="D665" s="17"/>
      <c r="E665" s="17"/>
      <c r="F665" s="17"/>
    </row>
    <row r="666" spans="3:6" x14ac:dyDescent="0.25">
      <c r="C666" s="14"/>
      <c r="D666" s="17"/>
      <c r="E666" s="17"/>
      <c r="F666" s="17"/>
    </row>
    <row r="667" spans="3:6" x14ac:dyDescent="0.25">
      <c r="C667" s="14"/>
      <c r="D667" s="17"/>
      <c r="E667" s="17"/>
      <c r="F667" s="17"/>
    </row>
    <row r="668" spans="3:6" x14ac:dyDescent="0.25">
      <c r="C668" s="14"/>
      <c r="D668" s="17"/>
      <c r="E668" s="17"/>
      <c r="F668" s="17"/>
    </row>
    <row r="669" spans="3:6" x14ac:dyDescent="0.25">
      <c r="C669" s="14"/>
      <c r="D669" s="17"/>
      <c r="E669" s="17"/>
      <c r="F669" s="17"/>
    </row>
    <row r="670" spans="3:6" x14ac:dyDescent="0.25">
      <c r="C670" s="14"/>
      <c r="D670" s="17"/>
      <c r="E670" s="17"/>
      <c r="F670" s="17"/>
    </row>
    <row r="671" spans="3:6" x14ac:dyDescent="0.25">
      <c r="C671" s="14"/>
      <c r="D671" s="17"/>
      <c r="E671" s="17"/>
      <c r="F671" s="17"/>
    </row>
    <row r="672" spans="3:6" x14ac:dyDescent="0.25">
      <c r="C672" s="14"/>
      <c r="D672" s="17"/>
      <c r="E672" s="17"/>
      <c r="F672" s="17"/>
    </row>
    <row r="673" spans="3:6" x14ac:dyDescent="0.25">
      <c r="C673" s="14"/>
      <c r="D673" s="17"/>
      <c r="E673" s="17"/>
      <c r="F673" s="17"/>
    </row>
    <row r="674" spans="3:6" x14ac:dyDescent="0.25">
      <c r="C674" s="14"/>
      <c r="D674" s="17"/>
      <c r="E674" s="17"/>
      <c r="F674" s="17"/>
    </row>
    <row r="675" spans="3:6" x14ac:dyDescent="0.25">
      <c r="C675" s="14"/>
      <c r="D675" s="17"/>
      <c r="E675" s="17"/>
      <c r="F675" s="17"/>
    </row>
    <row r="676" spans="3:6" x14ac:dyDescent="0.25">
      <c r="C676" s="14"/>
      <c r="D676" s="17"/>
      <c r="E676" s="17"/>
      <c r="F676" s="17"/>
    </row>
    <row r="677" spans="3:6" x14ac:dyDescent="0.25">
      <c r="C677" s="14"/>
      <c r="D677" s="17"/>
      <c r="E677" s="17"/>
      <c r="F677" s="17"/>
    </row>
    <row r="678" spans="3:6" x14ac:dyDescent="0.25">
      <c r="C678" s="14"/>
      <c r="D678" s="17"/>
      <c r="E678" s="17"/>
      <c r="F678" s="17"/>
    </row>
    <row r="679" spans="3:6" x14ac:dyDescent="0.25">
      <c r="C679" s="14"/>
      <c r="D679" s="17"/>
      <c r="E679" s="17"/>
      <c r="F679" s="17"/>
    </row>
    <row r="680" spans="3:6" x14ac:dyDescent="0.25">
      <c r="C680" s="14"/>
      <c r="D680" s="17"/>
      <c r="E680" s="17"/>
      <c r="F680" s="17"/>
    </row>
    <row r="681" spans="3:6" x14ac:dyDescent="0.25">
      <c r="C681" s="14"/>
      <c r="D681" s="17"/>
      <c r="E681" s="17"/>
      <c r="F681" s="17"/>
    </row>
    <row r="682" spans="3:6" x14ac:dyDescent="0.25">
      <c r="C682" s="14"/>
      <c r="D682" s="17"/>
      <c r="E682" s="17"/>
      <c r="F682" s="17"/>
    </row>
    <row r="683" spans="3:6" x14ac:dyDescent="0.25">
      <c r="C683" s="14"/>
      <c r="D683" s="17"/>
      <c r="E683" s="17"/>
      <c r="F683" s="17"/>
    </row>
    <row r="684" spans="3:6" x14ac:dyDescent="0.25">
      <c r="C684" s="14"/>
      <c r="D684" s="17"/>
      <c r="E684" s="17"/>
      <c r="F684" s="17"/>
    </row>
    <row r="685" spans="3:6" x14ac:dyDescent="0.25">
      <c r="C685" s="14"/>
      <c r="D685" s="17"/>
      <c r="E685" s="17"/>
      <c r="F685" s="17"/>
    </row>
    <row r="686" spans="3:6" x14ac:dyDescent="0.25">
      <c r="C686" s="14"/>
      <c r="D686" s="17"/>
      <c r="E686" s="17"/>
      <c r="F686" s="17"/>
    </row>
    <row r="687" spans="3:6" x14ac:dyDescent="0.25">
      <c r="C687" s="14"/>
      <c r="D687" s="17"/>
      <c r="E687" s="17"/>
      <c r="F687" s="17"/>
    </row>
    <row r="688" spans="3:6" x14ac:dyDescent="0.25">
      <c r="C688" s="14"/>
      <c r="D688" s="17"/>
      <c r="E688" s="17"/>
      <c r="F688" s="17"/>
    </row>
    <row r="689" spans="3:6" x14ac:dyDescent="0.25">
      <c r="C689" s="14"/>
      <c r="D689" s="17"/>
      <c r="E689" s="17"/>
      <c r="F689" s="17"/>
    </row>
    <row r="690" spans="3:6" x14ac:dyDescent="0.25">
      <c r="C690" s="14"/>
      <c r="D690" s="17"/>
      <c r="E690" s="17"/>
      <c r="F690" s="17"/>
    </row>
    <row r="691" spans="3:6" x14ac:dyDescent="0.25">
      <c r="C691" s="14"/>
      <c r="D691" s="17"/>
      <c r="E691" s="17"/>
      <c r="F691" s="17"/>
    </row>
    <row r="692" spans="3:6" x14ac:dyDescent="0.25">
      <c r="C692" s="14"/>
      <c r="D692" s="17"/>
      <c r="E692" s="17"/>
      <c r="F692" s="17"/>
    </row>
    <row r="693" spans="3:6" x14ac:dyDescent="0.25">
      <c r="C693" s="14"/>
      <c r="D693" s="17"/>
      <c r="E693" s="17"/>
      <c r="F693" s="17"/>
    </row>
    <row r="694" spans="3:6" x14ac:dyDescent="0.25">
      <c r="C694" s="14"/>
      <c r="D694" s="17"/>
      <c r="E694" s="17"/>
      <c r="F694" s="17"/>
    </row>
    <row r="695" spans="3:6" x14ac:dyDescent="0.25">
      <c r="C695" s="14"/>
      <c r="D695" s="17"/>
      <c r="E695" s="17"/>
      <c r="F695" s="17"/>
    </row>
    <row r="696" spans="3:6" x14ac:dyDescent="0.25">
      <c r="C696" s="14"/>
      <c r="D696" s="17"/>
      <c r="E696" s="17"/>
      <c r="F696" s="17"/>
    </row>
    <row r="697" spans="3:6" x14ac:dyDescent="0.25">
      <c r="C697" s="14"/>
      <c r="D697" s="17"/>
      <c r="E697" s="17"/>
      <c r="F697" s="17"/>
    </row>
    <row r="698" spans="3:6" x14ac:dyDescent="0.25">
      <c r="C698" s="14"/>
      <c r="D698" s="17"/>
      <c r="E698" s="17"/>
      <c r="F698" s="17"/>
    </row>
    <row r="699" spans="3:6" x14ac:dyDescent="0.25">
      <c r="C699" s="14"/>
      <c r="D699" s="17"/>
      <c r="E699" s="17"/>
      <c r="F699" s="17"/>
    </row>
    <row r="700" spans="3:6" x14ac:dyDescent="0.25">
      <c r="C700" s="14"/>
      <c r="D700" s="17"/>
      <c r="E700" s="17"/>
      <c r="F700" s="17"/>
    </row>
    <row r="701" spans="3:6" x14ac:dyDescent="0.25">
      <c r="C701" s="14"/>
      <c r="D701" s="17"/>
      <c r="E701" s="17"/>
      <c r="F701" s="17"/>
    </row>
    <row r="702" spans="3:6" x14ac:dyDescent="0.25">
      <c r="C702" s="14"/>
      <c r="D702" s="17"/>
      <c r="E702" s="17"/>
      <c r="F702" s="17"/>
    </row>
    <row r="703" spans="3:6" x14ac:dyDescent="0.25">
      <c r="C703" s="14"/>
      <c r="D703" s="17"/>
      <c r="E703" s="17"/>
      <c r="F703" s="17"/>
    </row>
    <row r="704" spans="3:6" x14ac:dyDescent="0.25">
      <c r="C704" s="14"/>
      <c r="D704" s="17"/>
      <c r="E704" s="17"/>
      <c r="F704" s="17"/>
    </row>
    <row r="705" spans="3:6" x14ac:dyDescent="0.25">
      <c r="C705" s="14"/>
      <c r="D705" s="17"/>
      <c r="E705" s="17"/>
      <c r="F705" s="17"/>
    </row>
    <row r="706" spans="3:6" x14ac:dyDescent="0.25">
      <c r="C706" s="14"/>
      <c r="D706" s="17"/>
      <c r="E706" s="17"/>
      <c r="F706" s="17"/>
    </row>
    <row r="707" spans="3:6" x14ac:dyDescent="0.25">
      <c r="C707" s="14"/>
      <c r="D707" s="17"/>
      <c r="E707" s="17"/>
      <c r="F707" s="17"/>
    </row>
    <row r="708" spans="3:6" x14ac:dyDescent="0.25">
      <c r="C708" s="14"/>
      <c r="D708" s="17"/>
      <c r="E708" s="17"/>
      <c r="F708" s="17"/>
    </row>
    <row r="709" spans="3:6" x14ac:dyDescent="0.25">
      <c r="C709" s="14"/>
      <c r="D709" s="17"/>
      <c r="E709" s="17"/>
      <c r="F709" s="17"/>
    </row>
    <row r="710" spans="3:6" x14ac:dyDescent="0.25">
      <c r="C710" s="14"/>
      <c r="D710" s="17"/>
      <c r="E710" s="17"/>
      <c r="F710" s="17"/>
    </row>
    <row r="711" spans="3:6" x14ac:dyDescent="0.25">
      <c r="C711" s="14"/>
      <c r="D711" s="17"/>
      <c r="E711" s="17"/>
      <c r="F711" s="17"/>
    </row>
    <row r="712" spans="3:6" x14ac:dyDescent="0.25">
      <c r="C712" s="14"/>
      <c r="D712" s="17"/>
      <c r="E712" s="17"/>
      <c r="F712" s="17"/>
    </row>
    <row r="713" spans="3:6" x14ac:dyDescent="0.25">
      <c r="C713" s="14"/>
      <c r="D713" s="17"/>
      <c r="E713" s="17"/>
      <c r="F713" s="17"/>
    </row>
    <row r="714" spans="3:6" x14ac:dyDescent="0.25">
      <c r="C714" s="14"/>
      <c r="D714" s="17"/>
      <c r="E714" s="17"/>
      <c r="F714" s="17"/>
    </row>
    <row r="715" spans="3:6" x14ac:dyDescent="0.25">
      <c r="C715" s="14"/>
      <c r="D715" s="17"/>
      <c r="E715" s="17"/>
      <c r="F715" s="17"/>
    </row>
    <row r="716" spans="3:6" x14ac:dyDescent="0.25">
      <c r="C716" s="14"/>
      <c r="D716" s="17"/>
      <c r="E716" s="17"/>
      <c r="F716" s="17"/>
    </row>
    <row r="717" spans="3:6" x14ac:dyDescent="0.25">
      <c r="C717" s="14"/>
      <c r="D717" s="17"/>
      <c r="E717" s="17"/>
      <c r="F717" s="17"/>
    </row>
    <row r="718" spans="3:6" x14ac:dyDescent="0.25">
      <c r="C718" s="14"/>
      <c r="D718" s="17"/>
      <c r="E718" s="17"/>
      <c r="F718" s="17"/>
    </row>
    <row r="719" spans="3:6" x14ac:dyDescent="0.25">
      <c r="C719" s="14"/>
      <c r="D719" s="17"/>
      <c r="E719" s="17"/>
      <c r="F719" s="17"/>
    </row>
    <row r="720" spans="3:6" x14ac:dyDescent="0.25">
      <c r="C720" s="14"/>
      <c r="D720" s="17"/>
      <c r="E720" s="17"/>
      <c r="F720" s="17"/>
    </row>
    <row r="721" spans="3:6" x14ac:dyDescent="0.25">
      <c r="C721" s="14"/>
      <c r="D721" s="17"/>
      <c r="E721" s="17"/>
      <c r="F721" s="17"/>
    </row>
    <row r="722" spans="3:6" x14ac:dyDescent="0.25">
      <c r="C722" s="14"/>
      <c r="D722" s="17"/>
      <c r="E722" s="17"/>
      <c r="F722" s="17"/>
    </row>
    <row r="723" spans="3:6" x14ac:dyDescent="0.25">
      <c r="C723" s="14"/>
      <c r="D723" s="17"/>
      <c r="E723" s="17"/>
      <c r="F723" s="17"/>
    </row>
    <row r="724" spans="3:6" x14ac:dyDescent="0.25">
      <c r="C724" s="14"/>
      <c r="D724" s="17"/>
      <c r="E724" s="17"/>
      <c r="F724" s="17"/>
    </row>
    <row r="725" spans="3:6" x14ac:dyDescent="0.25">
      <c r="C725" s="14"/>
      <c r="D725" s="17"/>
      <c r="E725" s="17"/>
      <c r="F725" s="17"/>
    </row>
    <row r="726" spans="3:6" x14ac:dyDescent="0.25">
      <c r="C726" s="14"/>
      <c r="D726" s="17"/>
      <c r="E726" s="17"/>
      <c r="F726" s="17"/>
    </row>
    <row r="727" spans="3:6" x14ac:dyDescent="0.25">
      <c r="C727" s="14"/>
      <c r="D727" s="17"/>
      <c r="E727" s="17"/>
      <c r="F727" s="17"/>
    </row>
    <row r="728" spans="3:6" x14ac:dyDescent="0.25">
      <c r="C728" s="14"/>
      <c r="D728" s="17"/>
      <c r="E728" s="17"/>
      <c r="F728" s="17"/>
    </row>
    <row r="729" spans="3:6" x14ac:dyDescent="0.25">
      <c r="C729" s="14"/>
      <c r="D729" s="17"/>
      <c r="E729" s="17"/>
      <c r="F729" s="17"/>
    </row>
    <row r="730" spans="3:6" x14ac:dyDescent="0.25">
      <c r="C730" s="14"/>
      <c r="D730" s="17"/>
      <c r="E730" s="17"/>
      <c r="F730" s="17"/>
    </row>
    <row r="731" spans="3:6" x14ac:dyDescent="0.25">
      <c r="C731" s="14"/>
      <c r="D731" s="17"/>
      <c r="E731" s="17"/>
      <c r="F731" s="17"/>
    </row>
    <row r="732" spans="3:6" x14ac:dyDescent="0.25">
      <c r="C732" s="14"/>
      <c r="D732" s="17"/>
      <c r="E732" s="17"/>
      <c r="F732" s="17"/>
    </row>
    <row r="733" spans="3:6" x14ac:dyDescent="0.25">
      <c r="C733" s="14"/>
      <c r="D733" s="17"/>
      <c r="E733" s="17"/>
      <c r="F733" s="17"/>
    </row>
    <row r="734" spans="3:6" x14ac:dyDescent="0.25">
      <c r="C734" s="14"/>
      <c r="D734" s="17"/>
      <c r="E734" s="17"/>
      <c r="F734" s="17"/>
    </row>
    <row r="735" spans="3:6" x14ac:dyDescent="0.25">
      <c r="C735" s="14"/>
      <c r="D735" s="17"/>
      <c r="E735" s="17"/>
      <c r="F735" s="17"/>
    </row>
    <row r="736" spans="3:6" x14ac:dyDescent="0.25">
      <c r="C736" s="14"/>
      <c r="D736" s="17"/>
      <c r="E736" s="17"/>
      <c r="F736" s="17"/>
    </row>
    <row r="737" spans="3:6" x14ac:dyDescent="0.25">
      <c r="C737" s="14"/>
      <c r="D737" s="17"/>
      <c r="E737" s="17"/>
      <c r="F737" s="17"/>
    </row>
    <row r="738" spans="3:6" x14ac:dyDescent="0.25">
      <c r="C738" s="14"/>
      <c r="D738" s="17"/>
      <c r="E738" s="17"/>
      <c r="F738" s="17"/>
    </row>
    <row r="739" spans="3:6" x14ac:dyDescent="0.25">
      <c r="C739" s="14"/>
      <c r="D739" s="17"/>
      <c r="E739" s="17"/>
      <c r="F739" s="17"/>
    </row>
    <row r="740" spans="3:6" x14ac:dyDescent="0.25">
      <c r="C740" s="14"/>
      <c r="D740" s="17"/>
      <c r="E740" s="17"/>
      <c r="F740" s="17"/>
    </row>
    <row r="741" spans="3:6" x14ac:dyDescent="0.25">
      <c r="C741" s="14"/>
      <c r="D741" s="17"/>
      <c r="E741" s="17"/>
      <c r="F741" s="17"/>
    </row>
    <row r="742" spans="3:6" x14ac:dyDescent="0.25">
      <c r="C742" s="14"/>
      <c r="D742" s="17"/>
      <c r="E742" s="17"/>
      <c r="F742" s="17"/>
    </row>
    <row r="743" spans="3:6" x14ac:dyDescent="0.25">
      <c r="C743" s="14"/>
      <c r="D743" s="17"/>
      <c r="E743" s="17"/>
      <c r="F743" s="17"/>
    </row>
    <row r="744" spans="3:6" x14ac:dyDescent="0.25">
      <c r="C744" s="14"/>
      <c r="D744" s="17"/>
      <c r="E744" s="17"/>
      <c r="F744" s="17"/>
    </row>
    <row r="745" spans="3:6" x14ac:dyDescent="0.25">
      <c r="C745" s="14"/>
      <c r="D745" s="17"/>
      <c r="E745" s="17"/>
      <c r="F745" s="17"/>
    </row>
    <row r="746" spans="3:6" x14ac:dyDescent="0.25">
      <c r="C746" s="14"/>
      <c r="D746" s="17"/>
      <c r="E746" s="17"/>
      <c r="F746" s="17"/>
    </row>
    <row r="747" spans="3:6" x14ac:dyDescent="0.25">
      <c r="C747" s="14"/>
      <c r="D747" s="17"/>
      <c r="E747" s="17"/>
      <c r="F747" s="17"/>
    </row>
    <row r="748" spans="3:6" x14ac:dyDescent="0.25">
      <c r="C748" s="14"/>
      <c r="D748" s="17"/>
      <c r="E748" s="17"/>
      <c r="F748" s="17"/>
    </row>
    <row r="749" spans="3:6" x14ac:dyDescent="0.25">
      <c r="C749" s="14"/>
      <c r="D749" s="17"/>
      <c r="E749" s="17"/>
      <c r="F749" s="17"/>
    </row>
    <row r="750" spans="3:6" x14ac:dyDescent="0.25">
      <c r="C750" s="14"/>
      <c r="D750" s="17"/>
      <c r="E750" s="17"/>
      <c r="F750" s="17"/>
    </row>
    <row r="751" spans="3:6" x14ac:dyDescent="0.25">
      <c r="C751" s="14"/>
      <c r="D751" s="17"/>
      <c r="E751" s="17"/>
      <c r="F751" s="17"/>
    </row>
    <row r="752" spans="3:6" x14ac:dyDescent="0.25">
      <c r="C752" s="14"/>
      <c r="D752" s="17"/>
      <c r="E752" s="17"/>
      <c r="F752" s="17"/>
    </row>
    <row r="753" spans="3:6" x14ac:dyDescent="0.25">
      <c r="C753" s="14"/>
      <c r="D753" s="17"/>
      <c r="E753" s="17"/>
      <c r="F753" s="17"/>
    </row>
    <row r="754" spans="3:6" x14ac:dyDescent="0.25">
      <c r="C754" s="14"/>
      <c r="D754" s="17"/>
      <c r="E754" s="17"/>
      <c r="F754" s="17"/>
    </row>
    <row r="755" spans="3:6" x14ac:dyDescent="0.25">
      <c r="C755" s="14"/>
      <c r="D755" s="17"/>
      <c r="E755" s="17"/>
      <c r="F755" s="17"/>
    </row>
    <row r="756" spans="3:6" x14ac:dyDescent="0.25">
      <c r="C756" s="14"/>
      <c r="D756" s="17"/>
      <c r="E756" s="17"/>
      <c r="F756" s="17"/>
    </row>
    <row r="757" spans="3:6" x14ac:dyDescent="0.25">
      <c r="C757" s="14"/>
      <c r="D757" s="17"/>
      <c r="E757" s="17"/>
      <c r="F757" s="17"/>
    </row>
    <row r="758" spans="3:6" x14ac:dyDescent="0.25">
      <c r="C758" s="14"/>
      <c r="D758" s="17"/>
      <c r="E758" s="17"/>
      <c r="F758" s="17"/>
    </row>
    <row r="759" spans="3:6" x14ac:dyDescent="0.25">
      <c r="C759" s="14"/>
      <c r="D759" s="17"/>
      <c r="E759" s="17"/>
      <c r="F759" s="17"/>
    </row>
    <row r="760" spans="3:6" x14ac:dyDescent="0.25">
      <c r="C760" s="14"/>
      <c r="D760" s="17"/>
      <c r="E760" s="17"/>
      <c r="F760" s="17"/>
    </row>
    <row r="761" spans="3:6" x14ac:dyDescent="0.25">
      <c r="C761" s="14"/>
      <c r="D761" s="17"/>
      <c r="E761" s="17"/>
      <c r="F761" s="17"/>
    </row>
    <row r="762" spans="3:6" x14ac:dyDescent="0.25">
      <c r="C762" s="14"/>
      <c r="D762" s="17"/>
      <c r="E762" s="17"/>
      <c r="F762" s="17"/>
    </row>
    <row r="763" spans="3:6" x14ac:dyDescent="0.25">
      <c r="C763" s="14"/>
      <c r="D763" s="17"/>
      <c r="E763" s="17"/>
      <c r="F763" s="17"/>
    </row>
    <row r="764" spans="3:6" x14ac:dyDescent="0.25">
      <c r="C764" s="14"/>
      <c r="D764" s="17"/>
      <c r="E764" s="17"/>
      <c r="F764" s="17"/>
    </row>
    <row r="765" spans="3:6" x14ac:dyDescent="0.25">
      <c r="C765" s="14"/>
      <c r="D765" s="17"/>
      <c r="E765" s="17"/>
      <c r="F765" s="17"/>
    </row>
    <row r="766" spans="3:6" x14ac:dyDescent="0.25">
      <c r="C766" s="14"/>
      <c r="D766" s="17"/>
      <c r="E766" s="17"/>
      <c r="F766" s="17"/>
    </row>
    <row r="767" spans="3:6" x14ac:dyDescent="0.25">
      <c r="C767" s="14"/>
      <c r="D767" s="17"/>
      <c r="E767" s="17"/>
      <c r="F767" s="17"/>
    </row>
    <row r="768" spans="3:6" x14ac:dyDescent="0.25">
      <c r="C768" s="14"/>
      <c r="D768" s="17"/>
      <c r="E768" s="17"/>
      <c r="F768" s="17"/>
    </row>
    <row r="769" spans="3:6" x14ac:dyDescent="0.25">
      <c r="C769" s="14"/>
      <c r="D769" s="17"/>
      <c r="E769" s="17"/>
      <c r="F769" s="17"/>
    </row>
    <row r="770" spans="3:6" x14ac:dyDescent="0.25">
      <c r="C770" s="14"/>
      <c r="D770" s="17"/>
      <c r="E770" s="17"/>
      <c r="F770" s="17"/>
    </row>
    <row r="771" spans="3:6" x14ac:dyDescent="0.25">
      <c r="C771" s="14"/>
      <c r="D771" s="17"/>
      <c r="E771" s="17"/>
      <c r="F771" s="17"/>
    </row>
    <row r="772" spans="3:6" x14ac:dyDescent="0.25">
      <c r="C772" s="14"/>
      <c r="D772" s="17"/>
      <c r="E772" s="17"/>
      <c r="F772" s="17"/>
    </row>
    <row r="773" spans="3:6" x14ac:dyDescent="0.25">
      <c r="C773" s="14"/>
      <c r="D773" s="17"/>
      <c r="E773" s="17"/>
      <c r="F773" s="17"/>
    </row>
    <row r="774" spans="3:6" x14ac:dyDescent="0.25">
      <c r="C774" s="14"/>
      <c r="D774" s="17"/>
      <c r="E774" s="17"/>
      <c r="F774" s="17"/>
    </row>
    <row r="775" spans="3:6" x14ac:dyDescent="0.25">
      <c r="C775" s="14"/>
      <c r="D775" s="17"/>
      <c r="E775" s="17"/>
      <c r="F775" s="17"/>
    </row>
    <row r="776" spans="3:6" x14ac:dyDescent="0.25">
      <c r="C776" s="14"/>
      <c r="D776" s="17"/>
      <c r="E776" s="17"/>
      <c r="F776" s="17"/>
    </row>
    <row r="777" spans="3:6" x14ac:dyDescent="0.25">
      <c r="C777" s="14"/>
      <c r="D777" s="17"/>
      <c r="E777" s="17"/>
      <c r="F777" s="17"/>
    </row>
    <row r="778" spans="3:6" x14ac:dyDescent="0.25">
      <c r="C778" s="14"/>
      <c r="D778" s="17"/>
      <c r="E778" s="17"/>
      <c r="F778" s="17"/>
    </row>
    <row r="779" spans="3:6" x14ac:dyDescent="0.25">
      <c r="C779" s="14"/>
      <c r="D779" s="17"/>
      <c r="E779" s="17"/>
      <c r="F779" s="17"/>
    </row>
    <row r="780" spans="3:6" x14ac:dyDescent="0.25">
      <c r="C780" s="14"/>
      <c r="D780" s="17"/>
      <c r="E780" s="17"/>
      <c r="F780" s="17"/>
    </row>
    <row r="781" spans="3:6" x14ac:dyDescent="0.25">
      <c r="C781" s="14"/>
      <c r="D781" s="17"/>
      <c r="E781" s="17"/>
      <c r="F781" s="17"/>
    </row>
    <row r="782" spans="3:6" x14ac:dyDescent="0.25">
      <c r="C782" s="14"/>
      <c r="D782" s="17"/>
      <c r="E782" s="17"/>
      <c r="F782" s="17"/>
    </row>
    <row r="783" spans="3:6" x14ac:dyDescent="0.25">
      <c r="C783" s="14"/>
      <c r="D783" s="17"/>
      <c r="E783" s="17"/>
      <c r="F783" s="17"/>
    </row>
    <row r="784" spans="3:6" x14ac:dyDescent="0.25">
      <c r="C784" s="14"/>
      <c r="D784" s="17"/>
      <c r="E784" s="17"/>
      <c r="F784" s="17"/>
    </row>
    <row r="785" spans="3:6" x14ac:dyDescent="0.25">
      <c r="C785" s="14"/>
      <c r="D785" s="17"/>
      <c r="E785" s="17"/>
      <c r="F785" s="17"/>
    </row>
    <row r="786" spans="3:6" x14ac:dyDescent="0.25">
      <c r="C786" s="14"/>
      <c r="D786" s="17"/>
      <c r="E786" s="17"/>
      <c r="F786" s="17"/>
    </row>
    <row r="787" spans="3:6" x14ac:dyDescent="0.25">
      <c r="C787" s="14"/>
      <c r="D787" s="17"/>
      <c r="E787" s="17"/>
      <c r="F787" s="17"/>
    </row>
    <row r="788" spans="3:6" x14ac:dyDescent="0.25">
      <c r="C788" s="14"/>
      <c r="D788" s="17"/>
      <c r="E788" s="17"/>
      <c r="F788" s="17"/>
    </row>
    <row r="789" spans="3:6" x14ac:dyDescent="0.25">
      <c r="C789" s="14"/>
      <c r="D789" s="17"/>
      <c r="E789" s="17"/>
      <c r="F789" s="17"/>
    </row>
    <row r="790" spans="3:6" x14ac:dyDescent="0.25">
      <c r="C790" s="14"/>
      <c r="D790" s="17"/>
      <c r="E790" s="17"/>
      <c r="F790" s="17"/>
    </row>
    <row r="791" spans="3:6" x14ac:dyDescent="0.25">
      <c r="C791" s="14"/>
      <c r="D791" s="17"/>
      <c r="E791" s="17"/>
      <c r="F791" s="17"/>
    </row>
    <row r="792" spans="3:6" x14ac:dyDescent="0.25">
      <c r="C792" s="14"/>
      <c r="D792" s="17"/>
      <c r="E792" s="17"/>
      <c r="F792" s="17"/>
    </row>
    <row r="793" spans="3:6" x14ac:dyDescent="0.25">
      <c r="C793" s="14"/>
      <c r="D793" s="17"/>
      <c r="E793" s="17"/>
      <c r="F793" s="17"/>
    </row>
    <row r="794" spans="3:6" x14ac:dyDescent="0.25">
      <c r="C794" s="14"/>
      <c r="D794" s="17"/>
      <c r="E794" s="17"/>
      <c r="F794" s="17"/>
    </row>
    <row r="795" spans="3:6" x14ac:dyDescent="0.25">
      <c r="C795" s="14"/>
      <c r="D795" s="17"/>
      <c r="E795" s="17"/>
      <c r="F795" s="17"/>
    </row>
    <row r="796" spans="3:6" x14ac:dyDescent="0.25">
      <c r="C796" s="14"/>
      <c r="D796" s="17"/>
      <c r="E796" s="17"/>
      <c r="F796" s="17"/>
    </row>
    <row r="797" spans="3:6" x14ac:dyDescent="0.25">
      <c r="C797" s="14"/>
      <c r="D797" s="17"/>
      <c r="E797" s="17"/>
      <c r="F797" s="17"/>
    </row>
    <row r="798" spans="3:6" x14ac:dyDescent="0.25">
      <c r="C798" s="14"/>
      <c r="D798" s="17"/>
      <c r="E798" s="17"/>
      <c r="F798" s="17"/>
    </row>
    <row r="799" spans="3:6" x14ac:dyDescent="0.25">
      <c r="C799" s="14"/>
      <c r="D799" s="17"/>
      <c r="E799" s="17"/>
      <c r="F799" s="17"/>
    </row>
    <row r="800" spans="3:6" x14ac:dyDescent="0.25">
      <c r="C800" s="14"/>
      <c r="D800" s="17"/>
      <c r="E800" s="17"/>
      <c r="F800" s="17"/>
    </row>
    <row r="801" spans="3:6" x14ac:dyDescent="0.25">
      <c r="C801" s="14"/>
      <c r="D801" s="17"/>
      <c r="E801" s="17"/>
      <c r="F801" s="17"/>
    </row>
    <row r="802" spans="3:6" x14ac:dyDescent="0.25">
      <c r="C802" s="14"/>
      <c r="D802" s="17"/>
      <c r="E802" s="17"/>
      <c r="F802" s="17"/>
    </row>
    <row r="803" spans="3:6" x14ac:dyDescent="0.25">
      <c r="C803" s="14"/>
      <c r="D803" s="17"/>
      <c r="E803" s="17"/>
      <c r="F803" s="17"/>
    </row>
    <row r="804" spans="3:6" x14ac:dyDescent="0.25">
      <c r="C804" s="14"/>
      <c r="D804" s="17"/>
      <c r="E804" s="17"/>
      <c r="F804" s="17"/>
    </row>
    <row r="805" spans="3:6" x14ac:dyDescent="0.25">
      <c r="C805" s="14"/>
      <c r="D805" s="17"/>
      <c r="E805" s="17"/>
      <c r="F805" s="17"/>
    </row>
    <row r="806" spans="3:6" x14ac:dyDescent="0.25">
      <c r="C806" s="14"/>
      <c r="D806" s="17"/>
      <c r="E806" s="17"/>
      <c r="F806" s="17"/>
    </row>
    <row r="807" spans="3:6" x14ac:dyDescent="0.25">
      <c r="C807" s="14"/>
      <c r="D807" s="17"/>
      <c r="E807" s="17"/>
      <c r="F807" s="17"/>
    </row>
    <row r="808" spans="3:6" x14ac:dyDescent="0.25">
      <c r="C808" s="14"/>
      <c r="D808" s="17"/>
      <c r="E808" s="17"/>
      <c r="F808" s="17"/>
    </row>
    <row r="809" spans="3:6" x14ac:dyDescent="0.25">
      <c r="C809" s="14"/>
      <c r="D809" s="17"/>
      <c r="E809" s="17"/>
      <c r="F809" s="17"/>
    </row>
    <row r="810" spans="3:6" x14ac:dyDescent="0.25">
      <c r="C810" s="14"/>
      <c r="D810" s="17"/>
      <c r="E810" s="17"/>
      <c r="F810" s="17"/>
    </row>
    <row r="811" spans="3:6" x14ac:dyDescent="0.25">
      <c r="C811" s="14"/>
      <c r="D811" s="17"/>
      <c r="E811" s="17"/>
      <c r="F811" s="17"/>
    </row>
    <row r="812" spans="3:6" x14ac:dyDescent="0.25">
      <c r="C812" s="14"/>
      <c r="D812" s="17"/>
      <c r="E812" s="17"/>
      <c r="F812" s="17"/>
    </row>
    <row r="813" spans="3:6" x14ac:dyDescent="0.25">
      <c r="C813" s="14"/>
      <c r="D813" s="17"/>
      <c r="E813" s="17"/>
      <c r="F813" s="17"/>
    </row>
    <row r="814" spans="3:6" x14ac:dyDescent="0.25">
      <c r="C814" s="14"/>
      <c r="D814" s="17"/>
      <c r="E814" s="17"/>
      <c r="F814" s="17"/>
    </row>
    <row r="815" spans="3:6" x14ac:dyDescent="0.25">
      <c r="C815" s="14"/>
      <c r="D815" s="17"/>
      <c r="E815" s="17"/>
      <c r="F815" s="17"/>
    </row>
    <row r="816" spans="3:6" x14ac:dyDescent="0.25">
      <c r="C816" s="14"/>
      <c r="D816" s="17"/>
      <c r="E816" s="17"/>
      <c r="F816" s="17"/>
    </row>
    <row r="817" spans="3:6" x14ac:dyDescent="0.25">
      <c r="C817" s="14"/>
      <c r="D817" s="17"/>
      <c r="E817" s="17"/>
      <c r="F817" s="17"/>
    </row>
    <row r="818" spans="3:6" x14ac:dyDescent="0.25">
      <c r="C818" s="14"/>
      <c r="D818" s="17"/>
      <c r="E818" s="17"/>
      <c r="F818" s="17"/>
    </row>
    <row r="819" spans="3:6" x14ac:dyDescent="0.25">
      <c r="C819" s="14"/>
      <c r="D819" s="17"/>
      <c r="E819" s="17"/>
      <c r="F819" s="17"/>
    </row>
    <row r="820" spans="3:6" x14ac:dyDescent="0.25">
      <c r="C820" s="14"/>
      <c r="D820" s="17"/>
      <c r="E820" s="17"/>
      <c r="F820" s="17"/>
    </row>
    <row r="821" spans="3:6" x14ac:dyDescent="0.25">
      <c r="C821" s="14"/>
      <c r="D821" s="17"/>
      <c r="E821" s="17"/>
      <c r="F821" s="17"/>
    </row>
    <row r="822" spans="3:6" x14ac:dyDescent="0.25">
      <c r="C822" s="14"/>
      <c r="D822" s="17"/>
      <c r="E822" s="17"/>
      <c r="F822" s="17"/>
    </row>
    <row r="823" spans="3:6" x14ac:dyDescent="0.25">
      <c r="C823" s="14"/>
      <c r="D823" s="17"/>
      <c r="E823" s="17"/>
      <c r="F823" s="17"/>
    </row>
    <row r="824" spans="3:6" x14ac:dyDescent="0.25">
      <c r="C824" s="14"/>
      <c r="D824" s="17"/>
      <c r="E824" s="17"/>
      <c r="F824" s="17"/>
    </row>
    <row r="825" spans="3:6" x14ac:dyDescent="0.25">
      <c r="C825" s="14"/>
      <c r="D825" s="17"/>
      <c r="E825" s="17"/>
      <c r="F825" s="17"/>
    </row>
    <row r="826" spans="3:6" x14ac:dyDescent="0.25">
      <c r="C826" s="14"/>
      <c r="D826" s="17"/>
      <c r="E826" s="17"/>
      <c r="F826" s="17"/>
    </row>
    <row r="827" spans="3:6" x14ac:dyDescent="0.25">
      <c r="C827" s="14"/>
      <c r="D827" s="17"/>
      <c r="E827" s="17"/>
      <c r="F827" s="17"/>
    </row>
    <row r="828" spans="3:6" x14ac:dyDescent="0.25">
      <c r="C828" s="14"/>
      <c r="D828" s="17"/>
      <c r="E828" s="17"/>
      <c r="F828" s="17"/>
    </row>
    <row r="829" spans="3:6" x14ac:dyDescent="0.25">
      <c r="C829" s="14"/>
      <c r="D829" s="17"/>
      <c r="E829" s="17"/>
      <c r="F829" s="17"/>
    </row>
    <row r="830" spans="3:6" x14ac:dyDescent="0.25">
      <c r="C830" s="14"/>
      <c r="D830" s="17"/>
      <c r="E830" s="17"/>
      <c r="F830" s="17"/>
    </row>
    <row r="831" spans="3:6" x14ac:dyDescent="0.25">
      <c r="C831" s="14"/>
      <c r="D831" s="17"/>
      <c r="E831" s="17"/>
      <c r="F831" s="17"/>
    </row>
    <row r="832" spans="3:6" x14ac:dyDescent="0.25">
      <c r="C832" s="14"/>
      <c r="D832" s="17"/>
      <c r="E832" s="17"/>
      <c r="F832" s="17"/>
    </row>
    <row r="833" spans="3:6" x14ac:dyDescent="0.25">
      <c r="C833" s="14"/>
      <c r="D833" s="17"/>
      <c r="E833" s="17"/>
      <c r="F833" s="17"/>
    </row>
    <row r="834" spans="3:6" x14ac:dyDescent="0.25">
      <c r="C834" s="14"/>
      <c r="D834" s="17"/>
      <c r="E834" s="17"/>
      <c r="F834" s="17"/>
    </row>
    <row r="835" spans="3:6" x14ac:dyDescent="0.25">
      <c r="C835" s="14"/>
      <c r="D835" s="17"/>
      <c r="E835" s="17"/>
      <c r="F835" s="17"/>
    </row>
    <row r="836" spans="3:6" x14ac:dyDescent="0.25">
      <c r="C836" s="14"/>
      <c r="D836" s="17"/>
      <c r="E836" s="17"/>
      <c r="F836" s="17"/>
    </row>
    <row r="837" spans="3:6" x14ac:dyDescent="0.25">
      <c r="C837" s="14"/>
      <c r="D837" s="17"/>
      <c r="E837" s="17"/>
      <c r="F837" s="17"/>
    </row>
    <row r="838" spans="3:6" x14ac:dyDescent="0.25">
      <c r="C838" s="14"/>
      <c r="D838" s="17"/>
      <c r="E838" s="17"/>
      <c r="F838" s="17"/>
    </row>
    <row r="839" spans="3:6" x14ac:dyDescent="0.25">
      <c r="C839" s="14"/>
      <c r="D839" s="17"/>
      <c r="E839" s="17"/>
      <c r="F839" s="17"/>
    </row>
    <row r="840" spans="3:6" x14ac:dyDescent="0.25">
      <c r="C840" s="14"/>
      <c r="D840" s="17"/>
      <c r="E840" s="17"/>
      <c r="F840" s="17"/>
    </row>
    <row r="841" spans="3:6" x14ac:dyDescent="0.25">
      <c r="C841" s="14"/>
      <c r="D841" s="17"/>
      <c r="E841" s="17"/>
      <c r="F841" s="17"/>
    </row>
    <row r="842" spans="3:6" x14ac:dyDescent="0.25">
      <c r="C842" s="14"/>
      <c r="D842" s="17"/>
      <c r="E842" s="17"/>
      <c r="F842" s="17"/>
    </row>
    <row r="843" spans="3:6" x14ac:dyDescent="0.25">
      <c r="C843" s="14"/>
      <c r="D843" s="17"/>
      <c r="E843" s="17"/>
      <c r="F843" s="17"/>
    </row>
    <row r="844" spans="3:6" x14ac:dyDescent="0.25">
      <c r="C844" s="14"/>
      <c r="D844" s="17"/>
      <c r="E844" s="17"/>
      <c r="F844" s="17"/>
    </row>
    <row r="845" spans="3:6" x14ac:dyDescent="0.25">
      <c r="C845" s="14"/>
      <c r="D845" s="17"/>
      <c r="E845" s="17"/>
      <c r="F845" s="17"/>
    </row>
    <row r="846" spans="3:6" x14ac:dyDescent="0.25">
      <c r="C846" s="14"/>
      <c r="D846" s="17"/>
      <c r="E846" s="17"/>
      <c r="F846" s="17"/>
    </row>
    <row r="847" spans="3:6" x14ac:dyDescent="0.25">
      <c r="C847" s="14"/>
      <c r="D847" s="17"/>
      <c r="E847" s="17"/>
      <c r="F847" s="17"/>
    </row>
    <row r="848" spans="3:6" x14ac:dyDescent="0.25">
      <c r="C848" s="14"/>
      <c r="D848" s="17"/>
      <c r="E848" s="17"/>
      <c r="F848" s="17"/>
    </row>
    <row r="849" spans="3:6" x14ac:dyDescent="0.25">
      <c r="C849" s="14"/>
      <c r="D849" s="17"/>
      <c r="E849" s="17"/>
      <c r="F849" s="17"/>
    </row>
    <row r="850" spans="3:6" x14ac:dyDescent="0.25">
      <c r="C850" s="14"/>
      <c r="D850" s="17"/>
      <c r="E850" s="17"/>
      <c r="F850" s="17"/>
    </row>
    <row r="851" spans="3:6" x14ac:dyDescent="0.25">
      <c r="C851" s="14"/>
      <c r="D851" s="17"/>
      <c r="E851" s="17"/>
      <c r="F851" s="17"/>
    </row>
    <row r="852" spans="3:6" x14ac:dyDescent="0.25">
      <c r="C852" s="14"/>
      <c r="D852" s="17"/>
      <c r="E852" s="17"/>
      <c r="F852" s="17"/>
    </row>
    <row r="853" spans="3:6" x14ac:dyDescent="0.25">
      <c r="C853" s="14"/>
      <c r="D853" s="17"/>
      <c r="E853" s="17"/>
      <c r="F853" s="17"/>
    </row>
    <row r="854" spans="3:6" x14ac:dyDescent="0.25">
      <c r="C854" s="14"/>
      <c r="D854" s="17"/>
      <c r="E854" s="17"/>
      <c r="F854" s="17"/>
    </row>
    <row r="855" spans="3:6" x14ac:dyDescent="0.25">
      <c r="C855" s="14"/>
      <c r="D855" s="17"/>
      <c r="E855" s="17"/>
      <c r="F855" s="17"/>
    </row>
    <row r="856" spans="3:6" x14ac:dyDescent="0.25">
      <c r="C856" s="14"/>
      <c r="D856" s="17"/>
      <c r="E856" s="17"/>
      <c r="F856" s="17"/>
    </row>
    <row r="857" spans="3:6" x14ac:dyDescent="0.25">
      <c r="C857" s="14"/>
      <c r="D857" s="17"/>
      <c r="E857" s="17"/>
      <c r="F857" s="17"/>
    </row>
    <row r="858" spans="3:6" x14ac:dyDescent="0.25">
      <c r="C858" s="14"/>
      <c r="D858" s="17"/>
      <c r="E858" s="17"/>
      <c r="F858" s="17"/>
    </row>
    <row r="859" spans="3:6" x14ac:dyDescent="0.25">
      <c r="C859" s="14"/>
      <c r="D859" s="17"/>
      <c r="E859" s="17"/>
      <c r="F859" s="17"/>
    </row>
    <row r="860" spans="3:6" x14ac:dyDescent="0.25">
      <c r="C860" s="14"/>
      <c r="D860" s="17"/>
      <c r="E860" s="17"/>
      <c r="F860" s="17"/>
    </row>
    <row r="861" spans="3:6" x14ac:dyDescent="0.25">
      <c r="C861" s="14"/>
      <c r="D861" s="17"/>
      <c r="E861" s="17"/>
      <c r="F861" s="17"/>
    </row>
    <row r="862" spans="3:6" x14ac:dyDescent="0.25">
      <c r="C862" s="14"/>
      <c r="D862" s="17"/>
      <c r="E862" s="17"/>
      <c r="F862" s="17"/>
    </row>
    <row r="863" spans="3:6" x14ac:dyDescent="0.25">
      <c r="C863" s="14"/>
      <c r="D863" s="17"/>
      <c r="E863" s="17"/>
      <c r="F863" s="17"/>
    </row>
    <row r="864" spans="3:6" x14ac:dyDescent="0.25">
      <c r="C864" s="14"/>
      <c r="D864" s="17"/>
      <c r="E864" s="17"/>
      <c r="F864" s="17"/>
    </row>
    <row r="865" spans="3:6" x14ac:dyDescent="0.25">
      <c r="C865" s="14"/>
      <c r="D865" s="17"/>
      <c r="E865" s="17"/>
      <c r="F865" s="17"/>
    </row>
    <row r="866" spans="3:6" x14ac:dyDescent="0.25">
      <c r="C866" s="14"/>
      <c r="D866" s="17"/>
      <c r="E866" s="17"/>
      <c r="F866" s="17"/>
    </row>
    <row r="867" spans="3:6" x14ac:dyDescent="0.25">
      <c r="C867" s="14"/>
      <c r="D867" s="17"/>
      <c r="E867" s="17"/>
      <c r="F867" s="17"/>
    </row>
    <row r="868" spans="3:6" x14ac:dyDescent="0.25">
      <c r="C868" s="14"/>
      <c r="D868" s="17"/>
      <c r="E868" s="17"/>
      <c r="F868" s="17"/>
    </row>
    <row r="869" spans="3:6" x14ac:dyDescent="0.25">
      <c r="C869" s="14"/>
      <c r="D869" s="17"/>
      <c r="E869" s="17"/>
      <c r="F869" s="17"/>
    </row>
    <row r="870" spans="3:6" x14ac:dyDescent="0.25">
      <c r="C870" s="14"/>
      <c r="D870" s="17"/>
      <c r="E870" s="17"/>
      <c r="F870" s="17"/>
    </row>
    <row r="871" spans="3:6" x14ac:dyDescent="0.25">
      <c r="C871" s="14"/>
      <c r="D871" s="17"/>
      <c r="E871" s="17"/>
      <c r="F871" s="17"/>
    </row>
    <row r="872" spans="3:6" x14ac:dyDescent="0.25">
      <c r="C872" s="14"/>
      <c r="D872" s="17"/>
      <c r="E872" s="17"/>
      <c r="F872" s="17"/>
    </row>
    <row r="873" spans="3:6" x14ac:dyDescent="0.25">
      <c r="C873" s="14"/>
      <c r="D873" s="17"/>
      <c r="E873" s="17"/>
      <c r="F873" s="17"/>
    </row>
    <row r="874" spans="3:6" x14ac:dyDescent="0.25">
      <c r="C874" s="14"/>
      <c r="D874" s="17"/>
      <c r="E874" s="17"/>
      <c r="F874" s="17"/>
    </row>
    <row r="875" spans="3:6" x14ac:dyDescent="0.25">
      <c r="C875" s="14"/>
      <c r="D875" s="17"/>
      <c r="E875" s="17"/>
      <c r="F875" s="17"/>
    </row>
    <row r="876" spans="3:6" x14ac:dyDescent="0.25">
      <c r="C876" s="14"/>
      <c r="D876" s="17"/>
      <c r="E876" s="17"/>
      <c r="F876" s="17"/>
    </row>
    <row r="877" spans="3:6" x14ac:dyDescent="0.25">
      <c r="C877" s="14"/>
      <c r="D877" s="17"/>
      <c r="E877" s="17"/>
      <c r="F877" s="17"/>
    </row>
    <row r="878" spans="3:6" x14ac:dyDescent="0.25">
      <c r="C878" s="14"/>
      <c r="D878" s="17"/>
      <c r="E878" s="17"/>
      <c r="F878" s="17"/>
    </row>
    <row r="879" spans="3:6" x14ac:dyDescent="0.25">
      <c r="C879" s="14"/>
      <c r="D879" s="17"/>
      <c r="E879" s="17"/>
      <c r="F879" s="17"/>
    </row>
    <row r="880" spans="3:6" x14ac:dyDescent="0.25">
      <c r="C880" s="14"/>
      <c r="D880" s="17"/>
      <c r="E880" s="17"/>
      <c r="F880" s="17"/>
    </row>
    <row r="881" spans="3:6" x14ac:dyDescent="0.25">
      <c r="C881" s="14"/>
      <c r="D881" s="17"/>
      <c r="E881" s="17"/>
      <c r="F881" s="17"/>
    </row>
    <row r="882" spans="3:6" x14ac:dyDescent="0.25">
      <c r="C882" s="14"/>
      <c r="D882" s="17"/>
      <c r="E882" s="17"/>
      <c r="F882" s="17"/>
    </row>
    <row r="883" spans="3:6" x14ac:dyDescent="0.25">
      <c r="C883" s="14"/>
      <c r="D883" s="17"/>
      <c r="E883" s="17"/>
      <c r="F883" s="17"/>
    </row>
    <row r="884" spans="3:6" x14ac:dyDescent="0.25">
      <c r="C884" s="14"/>
      <c r="D884" s="17"/>
      <c r="E884" s="17"/>
      <c r="F884" s="17"/>
    </row>
    <row r="885" spans="3:6" x14ac:dyDescent="0.25">
      <c r="C885" s="14"/>
      <c r="D885" s="17"/>
      <c r="E885" s="17"/>
      <c r="F885" s="17"/>
    </row>
    <row r="886" spans="3:6" x14ac:dyDescent="0.25">
      <c r="C886" s="14"/>
      <c r="D886" s="17"/>
      <c r="E886" s="17"/>
      <c r="F886" s="17"/>
    </row>
    <row r="887" spans="3:6" x14ac:dyDescent="0.25">
      <c r="C887" s="14"/>
      <c r="D887" s="17"/>
      <c r="E887" s="17"/>
      <c r="F887" s="17"/>
    </row>
    <row r="888" spans="3:6" x14ac:dyDescent="0.25">
      <c r="C888" s="14"/>
      <c r="D888" s="17"/>
      <c r="E888" s="17"/>
      <c r="F888" s="17"/>
    </row>
    <row r="889" spans="3:6" x14ac:dyDescent="0.25">
      <c r="C889" s="14"/>
      <c r="D889" s="17"/>
      <c r="E889" s="17"/>
      <c r="F889" s="17"/>
    </row>
    <row r="890" spans="3:6" x14ac:dyDescent="0.25">
      <c r="C890" s="14"/>
      <c r="D890" s="17"/>
      <c r="E890" s="17"/>
      <c r="F890" s="17"/>
    </row>
    <row r="891" spans="3:6" x14ac:dyDescent="0.25">
      <c r="C891" s="14"/>
      <c r="D891" s="17"/>
      <c r="E891" s="17"/>
      <c r="F891" s="17"/>
    </row>
    <row r="892" spans="3:6" x14ac:dyDescent="0.25">
      <c r="C892" s="14"/>
      <c r="D892" s="17"/>
      <c r="E892" s="17"/>
      <c r="F892" s="17"/>
    </row>
    <row r="893" spans="3:6" x14ac:dyDescent="0.25">
      <c r="C893" s="14"/>
      <c r="D893" s="17"/>
      <c r="E893" s="17"/>
      <c r="F893" s="17"/>
    </row>
    <row r="894" spans="3:6" x14ac:dyDescent="0.25">
      <c r="C894" s="14"/>
      <c r="D894" s="17"/>
      <c r="E894" s="17"/>
      <c r="F894" s="17"/>
    </row>
    <row r="895" spans="3:6" x14ac:dyDescent="0.25">
      <c r="C895" s="14"/>
      <c r="D895" s="17"/>
      <c r="E895" s="17"/>
      <c r="F895" s="17"/>
    </row>
    <row r="896" spans="3:6" x14ac:dyDescent="0.25">
      <c r="C896" s="14"/>
      <c r="D896" s="17"/>
      <c r="E896" s="17"/>
      <c r="F896" s="17"/>
    </row>
    <row r="897" spans="3:6" x14ac:dyDescent="0.25">
      <c r="C897" s="14"/>
      <c r="D897" s="17"/>
      <c r="E897" s="17"/>
      <c r="F897" s="17"/>
    </row>
    <row r="898" spans="3:6" x14ac:dyDescent="0.25">
      <c r="C898" s="14"/>
      <c r="D898" s="17"/>
      <c r="E898" s="17"/>
      <c r="F898" s="17"/>
    </row>
    <row r="899" spans="3:6" x14ac:dyDescent="0.25">
      <c r="C899" s="14"/>
      <c r="D899" s="17"/>
      <c r="E899" s="17"/>
      <c r="F899" s="17"/>
    </row>
    <row r="900" spans="3:6" x14ac:dyDescent="0.25">
      <c r="C900" s="14"/>
      <c r="D900" s="17"/>
      <c r="E900" s="17"/>
      <c r="F900" s="17"/>
    </row>
    <row r="901" spans="3:6" x14ac:dyDescent="0.25">
      <c r="C901" s="14"/>
      <c r="D901" s="17"/>
      <c r="E901" s="17"/>
      <c r="F901" s="17"/>
    </row>
    <row r="902" spans="3:6" x14ac:dyDescent="0.25">
      <c r="C902" s="14"/>
      <c r="D902" s="17"/>
      <c r="E902" s="17"/>
      <c r="F902" s="17"/>
    </row>
    <row r="903" spans="3:6" x14ac:dyDescent="0.25">
      <c r="C903" s="14"/>
      <c r="D903" s="17"/>
      <c r="E903" s="17"/>
      <c r="F903" s="17"/>
    </row>
    <row r="904" spans="3:6" x14ac:dyDescent="0.25">
      <c r="C904" s="14"/>
      <c r="D904" s="17"/>
      <c r="E904" s="17"/>
      <c r="F904" s="17"/>
    </row>
    <row r="905" spans="3:6" x14ac:dyDescent="0.25">
      <c r="C905" s="14"/>
      <c r="D905" s="17"/>
      <c r="E905" s="17"/>
      <c r="F905" s="17"/>
    </row>
    <row r="906" spans="3:6" x14ac:dyDescent="0.25">
      <c r="C906" s="14"/>
      <c r="D906" s="17"/>
      <c r="E906" s="17"/>
      <c r="F906" s="17"/>
    </row>
    <row r="907" spans="3:6" x14ac:dyDescent="0.25">
      <c r="C907" s="14"/>
      <c r="D907" s="17"/>
      <c r="E907" s="17"/>
      <c r="F907" s="17"/>
    </row>
    <row r="908" spans="3:6" x14ac:dyDescent="0.25">
      <c r="C908" s="14"/>
      <c r="D908" s="17"/>
      <c r="E908" s="17"/>
      <c r="F908" s="17"/>
    </row>
    <row r="909" spans="3:6" x14ac:dyDescent="0.25">
      <c r="C909" s="14"/>
      <c r="D909" s="17"/>
      <c r="E909" s="17"/>
      <c r="F909" s="17"/>
    </row>
    <row r="910" spans="3:6" x14ac:dyDescent="0.25">
      <c r="C910" s="14"/>
      <c r="D910" s="17"/>
      <c r="E910" s="17"/>
      <c r="F910" s="17"/>
    </row>
    <row r="911" spans="3:6" x14ac:dyDescent="0.25">
      <c r="C911" s="14"/>
      <c r="D911" s="17"/>
      <c r="E911" s="17"/>
      <c r="F911" s="17"/>
    </row>
    <row r="912" spans="3:6" x14ac:dyDescent="0.25">
      <c r="C912" s="14"/>
      <c r="D912" s="17"/>
      <c r="E912" s="17"/>
      <c r="F912" s="17"/>
    </row>
    <row r="913" spans="3:6" x14ac:dyDescent="0.25">
      <c r="C913" s="14"/>
      <c r="D913" s="17"/>
      <c r="E913" s="17"/>
      <c r="F913" s="17"/>
    </row>
    <row r="914" spans="3:6" x14ac:dyDescent="0.25">
      <c r="C914" s="14"/>
      <c r="D914" s="17"/>
      <c r="E914" s="17"/>
      <c r="F914" s="17"/>
    </row>
    <row r="915" spans="3:6" x14ac:dyDescent="0.25">
      <c r="C915" s="14"/>
      <c r="D915" s="17"/>
      <c r="E915" s="17"/>
      <c r="F915" s="17"/>
    </row>
    <row r="916" spans="3:6" x14ac:dyDescent="0.25">
      <c r="C916" s="14"/>
      <c r="D916" s="17"/>
      <c r="E916" s="17"/>
      <c r="F916" s="17"/>
    </row>
    <row r="917" spans="3:6" x14ac:dyDescent="0.25">
      <c r="C917" s="14"/>
      <c r="D917" s="17"/>
      <c r="E917" s="17"/>
      <c r="F917" s="17"/>
    </row>
    <row r="918" spans="3:6" x14ac:dyDescent="0.25">
      <c r="C918" s="14"/>
      <c r="D918" s="17"/>
      <c r="E918" s="17"/>
      <c r="F918" s="17"/>
    </row>
    <row r="919" spans="3:6" x14ac:dyDescent="0.25">
      <c r="C919" s="14"/>
      <c r="D919" s="17"/>
      <c r="E919" s="17"/>
      <c r="F919" s="17"/>
    </row>
    <row r="920" spans="3:6" x14ac:dyDescent="0.25">
      <c r="C920" s="14"/>
      <c r="D920" s="17"/>
      <c r="E920" s="17"/>
      <c r="F920" s="17"/>
    </row>
    <row r="921" spans="3:6" x14ac:dyDescent="0.25">
      <c r="C921" s="14"/>
      <c r="D921" s="17"/>
      <c r="E921" s="17"/>
      <c r="F921" s="17"/>
    </row>
    <row r="922" spans="3:6" x14ac:dyDescent="0.25">
      <c r="C922" s="14"/>
      <c r="D922" s="17"/>
      <c r="E922" s="17"/>
      <c r="F922" s="17"/>
    </row>
    <row r="923" spans="3:6" x14ac:dyDescent="0.25">
      <c r="C923" s="14"/>
      <c r="D923" s="17"/>
      <c r="E923" s="17"/>
      <c r="F923" s="17"/>
    </row>
    <row r="924" spans="3:6" x14ac:dyDescent="0.25">
      <c r="C924" s="14"/>
      <c r="D924" s="17"/>
      <c r="E924" s="17"/>
      <c r="F924" s="17"/>
    </row>
    <row r="925" spans="3:6" x14ac:dyDescent="0.25">
      <c r="C925" s="14"/>
      <c r="D925" s="17"/>
      <c r="E925" s="17"/>
      <c r="F925" s="17"/>
    </row>
    <row r="926" spans="3:6" x14ac:dyDescent="0.25">
      <c r="C926" s="14"/>
      <c r="D926" s="17"/>
      <c r="E926" s="17"/>
      <c r="F926" s="17"/>
    </row>
    <row r="927" spans="3:6" x14ac:dyDescent="0.25">
      <c r="C927" s="14"/>
      <c r="D927" s="17"/>
      <c r="E927" s="17"/>
      <c r="F927" s="17"/>
    </row>
    <row r="928" spans="3:6" x14ac:dyDescent="0.25">
      <c r="C928" s="14"/>
      <c r="D928" s="17"/>
      <c r="E928" s="17"/>
      <c r="F928" s="17"/>
    </row>
    <row r="929" spans="3:6" x14ac:dyDescent="0.25">
      <c r="C929" s="14"/>
      <c r="D929" s="17"/>
      <c r="E929" s="17"/>
      <c r="F929" s="17"/>
    </row>
    <row r="930" spans="3:6" x14ac:dyDescent="0.25">
      <c r="C930" s="14"/>
      <c r="D930" s="17"/>
      <c r="E930" s="17"/>
      <c r="F930" s="17"/>
    </row>
    <row r="931" spans="3:6" x14ac:dyDescent="0.25">
      <c r="C931" s="14"/>
      <c r="D931" s="17"/>
      <c r="E931" s="17"/>
      <c r="F931" s="17"/>
    </row>
    <row r="932" spans="3:6" x14ac:dyDescent="0.25">
      <c r="C932" s="14"/>
      <c r="D932" s="17"/>
      <c r="E932" s="17"/>
      <c r="F932" s="17"/>
    </row>
    <row r="933" spans="3:6" x14ac:dyDescent="0.25">
      <c r="C933" s="14"/>
      <c r="D933" s="17"/>
      <c r="E933" s="17"/>
      <c r="F933" s="17"/>
    </row>
    <row r="934" spans="3:6" x14ac:dyDescent="0.25">
      <c r="C934" s="14"/>
      <c r="D934" s="17"/>
      <c r="E934" s="17"/>
      <c r="F934" s="17"/>
    </row>
    <row r="935" spans="3:6" x14ac:dyDescent="0.25">
      <c r="C935" s="14"/>
      <c r="D935" s="17"/>
      <c r="E935" s="17"/>
      <c r="F935" s="17"/>
    </row>
    <row r="936" spans="3:6" x14ac:dyDescent="0.25">
      <c r="C936" s="14"/>
      <c r="D936" s="17"/>
      <c r="E936" s="17"/>
      <c r="F936" s="17"/>
    </row>
    <row r="937" spans="3:6" x14ac:dyDescent="0.25">
      <c r="C937" s="14"/>
      <c r="D937" s="17"/>
      <c r="E937" s="17"/>
      <c r="F937" s="17"/>
    </row>
    <row r="938" spans="3:6" x14ac:dyDescent="0.25">
      <c r="C938" s="14"/>
      <c r="D938" s="17"/>
      <c r="E938" s="17"/>
      <c r="F938" s="17"/>
    </row>
    <row r="939" spans="3:6" x14ac:dyDescent="0.25">
      <c r="C939" s="14"/>
      <c r="D939" s="17"/>
      <c r="E939" s="17"/>
      <c r="F939" s="17"/>
    </row>
    <row r="940" spans="3:6" x14ac:dyDescent="0.25">
      <c r="C940" s="14"/>
      <c r="D940" s="17"/>
      <c r="E940" s="17"/>
      <c r="F940" s="17"/>
    </row>
    <row r="941" spans="3:6" x14ac:dyDescent="0.25">
      <c r="C941" s="14"/>
      <c r="D941" s="17"/>
      <c r="E941" s="17"/>
      <c r="F941" s="17"/>
    </row>
    <row r="942" spans="3:6" x14ac:dyDescent="0.25">
      <c r="C942" s="14"/>
      <c r="D942" s="17"/>
      <c r="E942" s="17"/>
      <c r="F942" s="17"/>
    </row>
    <row r="943" spans="3:6" x14ac:dyDescent="0.25">
      <c r="C943" s="14"/>
      <c r="D943" s="17"/>
      <c r="E943" s="17"/>
      <c r="F943" s="17"/>
    </row>
    <row r="944" spans="3:6" x14ac:dyDescent="0.25">
      <c r="C944" s="14"/>
      <c r="D944" s="17"/>
      <c r="E944" s="17"/>
      <c r="F944" s="17"/>
    </row>
    <row r="945" spans="3:6" x14ac:dyDescent="0.25">
      <c r="C945" s="14"/>
      <c r="D945" s="17"/>
      <c r="E945" s="17"/>
      <c r="F945" s="17"/>
    </row>
    <row r="946" spans="3:6" x14ac:dyDescent="0.25">
      <c r="C946" s="14"/>
      <c r="D946" s="17"/>
      <c r="E946" s="17"/>
      <c r="F946" s="17"/>
    </row>
    <row r="947" spans="3:6" x14ac:dyDescent="0.25">
      <c r="C947" s="14"/>
      <c r="D947" s="17"/>
      <c r="E947" s="17"/>
      <c r="F947" s="17"/>
    </row>
    <row r="948" spans="3:6" x14ac:dyDescent="0.25">
      <c r="C948" s="14"/>
      <c r="D948" s="17"/>
      <c r="E948" s="17"/>
      <c r="F948" s="17"/>
    </row>
    <row r="949" spans="3:6" x14ac:dyDescent="0.25">
      <c r="C949" s="14"/>
      <c r="D949" s="17"/>
      <c r="E949" s="17"/>
      <c r="F949" s="17"/>
    </row>
    <row r="950" spans="3:6" x14ac:dyDescent="0.25">
      <c r="C950" s="14"/>
      <c r="D950" s="17"/>
      <c r="E950" s="17"/>
      <c r="F950" s="17"/>
    </row>
    <row r="951" spans="3:6" x14ac:dyDescent="0.25">
      <c r="C951" s="14"/>
      <c r="D951" s="17"/>
      <c r="E951" s="17"/>
      <c r="F951" s="17"/>
    </row>
    <row r="952" spans="3:6" x14ac:dyDescent="0.25">
      <c r="C952" s="14"/>
      <c r="D952" s="17"/>
      <c r="E952" s="17"/>
      <c r="F952" s="17"/>
    </row>
  </sheetData>
  <autoFilter ref="A1:U489" xr:uid="{BBC1E09E-7B70-4761-9988-E2A9D911E895}">
    <filterColumn colId="0">
      <filters blank="1"/>
    </filterColumn>
  </autoFilter>
  <sortState xmlns:xlrd2="http://schemas.microsoft.com/office/spreadsheetml/2017/richdata2" ref="G2:U489">
    <sortCondition ref="G2:G489"/>
  </sortState>
  <pageMargins left="0.7" right="0.7" top="0.75" bottom="0.75" header="0.3" footer="0.3"/>
  <pageSetup orientation="portrait" r:id="rId1"/>
  <headerFooter>
    <oddFooter xml:space="preserve">&amp;L_x000D_&amp;1#&amp;"Calibri"&amp;10&amp;K000000 Classification: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E1F5-CC80-409D-88A4-579993AD464D}">
  <dimension ref="A1:D57"/>
  <sheetViews>
    <sheetView topLeftCell="A6" workbookViewId="0">
      <selection activeCell="A24" sqref="A24"/>
    </sheetView>
  </sheetViews>
  <sheetFormatPr baseColWidth="10" defaultRowHeight="15" x14ac:dyDescent="0.25"/>
  <cols>
    <col min="1" max="1" width="76.7109375" bestFit="1" customWidth="1"/>
    <col min="4" max="4" width="153" bestFit="1" customWidth="1"/>
  </cols>
  <sheetData>
    <row r="1" spans="1:4" x14ac:dyDescent="0.25">
      <c r="B1" t="s">
        <v>1804</v>
      </c>
    </row>
    <row r="2" spans="1:4" x14ac:dyDescent="0.25">
      <c r="A2" t="s">
        <v>1778</v>
      </c>
      <c r="B2" t="s">
        <v>1723</v>
      </c>
    </row>
    <row r="3" spans="1:4" x14ac:dyDescent="0.25">
      <c r="A3" t="s">
        <v>1779</v>
      </c>
      <c r="B3" t="s">
        <v>1723</v>
      </c>
      <c r="D3" t="s">
        <v>1741</v>
      </c>
    </row>
    <row r="4" spans="1:4" x14ac:dyDescent="0.25">
      <c r="A4" t="s">
        <v>1780</v>
      </c>
      <c r="B4" t="s">
        <v>1723</v>
      </c>
      <c r="D4" t="s">
        <v>1742</v>
      </c>
    </row>
    <row r="5" spans="1:4" x14ac:dyDescent="0.25">
      <c r="A5" t="s">
        <v>1781</v>
      </c>
      <c r="B5" t="s">
        <v>1723</v>
      </c>
      <c r="D5" t="s">
        <v>1743</v>
      </c>
    </row>
    <row r="6" spans="1:4" x14ac:dyDescent="0.25">
      <c r="A6" t="s">
        <v>1782</v>
      </c>
      <c r="B6" t="s">
        <v>1723</v>
      </c>
      <c r="D6" t="s">
        <v>1744</v>
      </c>
    </row>
    <row r="7" spans="1:4" x14ac:dyDescent="0.25">
      <c r="A7" t="s">
        <v>1783</v>
      </c>
      <c r="B7" t="s">
        <v>1723</v>
      </c>
      <c r="D7" t="s">
        <v>1745</v>
      </c>
    </row>
    <row r="8" spans="1:4" x14ac:dyDescent="0.25">
      <c r="A8" t="s">
        <v>1784</v>
      </c>
      <c r="B8" t="s">
        <v>1723</v>
      </c>
      <c r="D8" t="s">
        <v>1746</v>
      </c>
    </row>
    <row r="9" spans="1:4" x14ac:dyDescent="0.25">
      <c r="A9" t="s">
        <v>1785</v>
      </c>
      <c r="B9" t="s">
        <v>1723</v>
      </c>
      <c r="D9" t="s">
        <v>1747</v>
      </c>
    </row>
    <row r="10" spans="1:4" x14ac:dyDescent="0.25">
      <c r="A10" t="s">
        <v>1786</v>
      </c>
      <c r="B10" t="s">
        <v>1723</v>
      </c>
      <c r="D10" t="s">
        <v>1725</v>
      </c>
    </row>
    <row r="11" spans="1:4" x14ac:dyDescent="0.25">
      <c r="A11" t="s">
        <v>1787</v>
      </c>
      <c r="B11" t="s">
        <v>1723</v>
      </c>
      <c r="D11" t="s">
        <v>1726</v>
      </c>
    </row>
    <row r="12" spans="1:4" x14ac:dyDescent="0.25">
      <c r="A12" t="s">
        <v>1788</v>
      </c>
      <c r="B12" t="s">
        <v>1723</v>
      </c>
      <c r="D12" t="s">
        <v>1748</v>
      </c>
    </row>
    <row r="13" spans="1:4" x14ac:dyDescent="0.25">
      <c r="A13" t="s">
        <v>1789</v>
      </c>
      <c r="B13" t="s">
        <v>1723</v>
      </c>
      <c r="D13" t="s">
        <v>1749</v>
      </c>
    </row>
    <row r="14" spans="1:4" x14ac:dyDescent="0.25">
      <c r="A14" t="s">
        <v>1790</v>
      </c>
      <c r="B14" t="s">
        <v>1723</v>
      </c>
    </row>
    <row r="15" spans="1:4" x14ac:dyDescent="0.25">
      <c r="A15" t="s">
        <v>1791</v>
      </c>
      <c r="B15" t="s">
        <v>1723</v>
      </c>
      <c r="D15" t="s">
        <v>1727</v>
      </c>
    </row>
    <row r="16" spans="1:4" x14ac:dyDescent="0.25">
      <c r="A16" t="s">
        <v>1792</v>
      </c>
      <c r="B16" t="s">
        <v>1723</v>
      </c>
      <c r="D16" t="s">
        <v>1750</v>
      </c>
    </row>
    <row r="17" spans="1:4" x14ac:dyDescent="0.25">
      <c r="A17" t="s">
        <v>1793</v>
      </c>
      <c r="B17" t="s">
        <v>1723</v>
      </c>
      <c r="D17" t="s">
        <v>1751</v>
      </c>
    </row>
    <row r="18" spans="1:4" x14ac:dyDescent="0.25">
      <c r="A18" t="s">
        <v>1794</v>
      </c>
      <c r="B18" t="s">
        <v>1723</v>
      </c>
      <c r="D18" t="s">
        <v>1752</v>
      </c>
    </row>
    <row r="19" spans="1:4" x14ac:dyDescent="0.25">
      <c r="A19" t="s">
        <v>1795</v>
      </c>
      <c r="B19" t="s">
        <v>1723</v>
      </c>
      <c r="D19" t="s">
        <v>1753</v>
      </c>
    </row>
    <row r="20" spans="1:4" x14ac:dyDescent="0.25">
      <c r="A20" t="s">
        <v>1796</v>
      </c>
      <c r="B20" t="s">
        <v>1723</v>
      </c>
      <c r="D20" t="s">
        <v>1754</v>
      </c>
    </row>
    <row r="21" spans="1:4" x14ac:dyDescent="0.25">
      <c r="A21" t="s">
        <v>1797</v>
      </c>
      <c r="B21" t="s">
        <v>1723</v>
      </c>
      <c r="D21" t="s">
        <v>1755</v>
      </c>
    </row>
    <row r="22" spans="1:4" x14ac:dyDescent="0.25">
      <c r="A22" t="s">
        <v>1805</v>
      </c>
      <c r="B22" t="s">
        <v>1723</v>
      </c>
      <c r="D22" t="s">
        <v>1756</v>
      </c>
    </row>
    <row r="23" spans="1:4" x14ac:dyDescent="0.25">
      <c r="A23" t="s">
        <v>1809</v>
      </c>
      <c r="B23" t="s">
        <v>1723</v>
      </c>
      <c r="D23" t="s">
        <v>1757</v>
      </c>
    </row>
    <row r="24" spans="1:4" x14ac:dyDescent="0.25">
      <c r="A24" t="s">
        <v>1810</v>
      </c>
      <c r="B24" t="s">
        <v>1723</v>
      </c>
    </row>
    <row r="25" spans="1:4" x14ac:dyDescent="0.25">
      <c r="B25" t="s">
        <v>1723</v>
      </c>
      <c r="D25" t="s">
        <v>1758</v>
      </c>
    </row>
    <row r="26" spans="1:4" x14ac:dyDescent="0.25">
      <c r="D26" t="s">
        <v>1759</v>
      </c>
    </row>
    <row r="27" spans="1:4" x14ac:dyDescent="0.25">
      <c r="D27" t="s">
        <v>1760</v>
      </c>
    </row>
    <row r="28" spans="1:4" x14ac:dyDescent="0.25">
      <c r="D28" t="s">
        <v>1761</v>
      </c>
    </row>
    <row r="29" spans="1:4" x14ac:dyDescent="0.25">
      <c r="D29" t="s">
        <v>1762</v>
      </c>
    </row>
    <row r="30" spans="1:4" x14ac:dyDescent="0.25">
      <c r="D30" t="s">
        <v>1728</v>
      </c>
    </row>
    <row r="31" spans="1:4" x14ac:dyDescent="0.25">
      <c r="D31" t="s">
        <v>1763</v>
      </c>
    </row>
    <row r="32" spans="1:4" x14ac:dyDescent="0.25">
      <c r="D32" t="s">
        <v>1729</v>
      </c>
    </row>
    <row r="33" spans="4:4" x14ac:dyDescent="0.25">
      <c r="D33" t="s">
        <v>1764</v>
      </c>
    </row>
    <row r="34" spans="4:4" x14ac:dyDescent="0.25">
      <c r="D34" t="s">
        <v>1765</v>
      </c>
    </row>
    <row r="35" spans="4:4" x14ac:dyDescent="0.25">
      <c r="D35" t="s">
        <v>1766</v>
      </c>
    </row>
    <row r="36" spans="4:4" x14ac:dyDescent="0.25">
      <c r="D36" t="s">
        <v>1767</v>
      </c>
    </row>
    <row r="37" spans="4:4" x14ac:dyDescent="0.25">
      <c r="D37" t="s">
        <v>1768</v>
      </c>
    </row>
    <row r="38" spans="4:4" x14ac:dyDescent="0.25">
      <c r="D38" t="s">
        <v>1730</v>
      </c>
    </row>
    <row r="39" spans="4:4" x14ac:dyDescent="0.25">
      <c r="D39" t="s">
        <v>1731</v>
      </c>
    </row>
    <row r="40" spans="4:4" x14ac:dyDescent="0.25">
      <c r="D40" t="s">
        <v>1769</v>
      </c>
    </row>
    <row r="41" spans="4:4" x14ac:dyDescent="0.25">
      <c r="D41" t="s">
        <v>1770</v>
      </c>
    </row>
    <row r="42" spans="4:4" x14ac:dyDescent="0.25">
      <c r="D42" t="s">
        <v>1732</v>
      </c>
    </row>
    <row r="43" spans="4:4" x14ac:dyDescent="0.25">
      <c r="D43" t="s">
        <v>1771</v>
      </c>
    </row>
    <row r="44" spans="4:4" x14ac:dyDescent="0.25">
      <c r="D44" t="s">
        <v>1772</v>
      </c>
    </row>
    <row r="45" spans="4:4" x14ac:dyDescent="0.25">
      <c r="D45" t="s">
        <v>1733</v>
      </c>
    </row>
    <row r="46" spans="4:4" x14ac:dyDescent="0.25">
      <c r="D46" t="s">
        <v>1734</v>
      </c>
    </row>
    <row r="47" spans="4:4" x14ac:dyDescent="0.25">
      <c r="D47" t="s">
        <v>1773</v>
      </c>
    </row>
    <row r="48" spans="4:4" x14ac:dyDescent="0.25">
      <c r="D48" t="s">
        <v>1735</v>
      </c>
    </row>
    <row r="49" spans="4:4" x14ac:dyDescent="0.25">
      <c r="D49" t="s">
        <v>1774</v>
      </c>
    </row>
    <row r="50" spans="4:4" x14ac:dyDescent="0.25">
      <c r="D50" t="s">
        <v>1775</v>
      </c>
    </row>
    <row r="51" spans="4:4" x14ac:dyDescent="0.25">
      <c r="D51" t="s">
        <v>1736</v>
      </c>
    </row>
    <row r="52" spans="4:4" x14ac:dyDescent="0.25">
      <c r="D52" t="s">
        <v>1737</v>
      </c>
    </row>
    <row r="53" spans="4:4" x14ac:dyDescent="0.25">
      <c r="D53" t="s">
        <v>1738</v>
      </c>
    </row>
    <row r="54" spans="4:4" x14ac:dyDescent="0.25">
      <c r="D54" t="s">
        <v>1739</v>
      </c>
    </row>
    <row r="55" spans="4:4" x14ac:dyDescent="0.25">
      <c r="D55" t="s">
        <v>1740</v>
      </c>
    </row>
    <row r="56" spans="4:4" x14ac:dyDescent="0.25">
      <c r="D56" t="s">
        <v>1776</v>
      </c>
    </row>
    <row r="57" spans="4:4" x14ac:dyDescent="0.25">
      <c r="D57" t="s">
        <v>1777</v>
      </c>
    </row>
  </sheetData>
  <pageMargins left="0.7" right="0.7" top="0.75" bottom="0.75" header="0.3" footer="0.3"/>
  <headerFooter>
    <oddFooter xml:space="preserve">&amp;L_x000D_&amp;1#&amp;"Calibri"&amp;10&amp;K000000 Classification: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Mensajes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Yanpol</dc:creator>
  <cp:lastModifiedBy>Yanpol</cp:lastModifiedBy>
  <dcterms:created xsi:type="dcterms:W3CDTF">2022-12-16T00:34:17Z</dcterms:created>
  <dcterms:modified xsi:type="dcterms:W3CDTF">2023-06-22T21:32:24Z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69d3dd-97ca-442c-b421-e0ad91cdafdd_Enabled">
    <vt:lpwstr>true</vt:lpwstr>
  </property>
  <property fmtid="{D5CDD505-2E9C-101B-9397-08002B2CF9AE}" pid="3" name="MSIP_Label_3a69d3dd-97ca-442c-b421-e0ad91cdafdd_SetDate">
    <vt:lpwstr>2023-06-22T20:08:38Z</vt:lpwstr>
  </property>
  <property fmtid="{D5CDD505-2E9C-101B-9397-08002B2CF9AE}" pid="4" name="MSIP_Label_3a69d3dd-97ca-442c-b421-e0ad91cdafdd_Method">
    <vt:lpwstr>Privileged</vt:lpwstr>
  </property>
  <property fmtid="{D5CDD505-2E9C-101B-9397-08002B2CF9AE}" pid="5" name="MSIP_Label_3a69d3dd-97ca-442c-b421-e0ad91cdafdd_Name">
    <vt:lpwstr>Public</vt:lpwstr>
  </property>
  <property fmtid="{D5CDD505-2E9C-101B-9397-08002B2CF9AE}" pid="6" name="MSIP_Label_3a69d3dd-97ca-442c-b421-e0ad91cdafdd_SiteId">
    <vt:lpwstr>ce3a67f2-5a22-4fb8-a511-815f8924cda6</vt:lpwstr>
  </property>
  <property fmtid="{D5CDD505-2E9C-101B-9397-08002B2CF9AE}" pid="7" name="MSIP_Label_3a69d3dd-97ca-442c-b421-e0ad91cdafdd_ActionId">
    <vt:lpwstr>6df83323-86d8-475e-ac99-2253af3a15cd</vt:lpwstr>
  </property>
  <property fmtid="{D5CDD505-2E9C-101B-9397-08002B2CF9AE}" pid="8" name="MSIP_Label_3a69d3dd-97ca-442c-b421-e0ad91cdafdd_ContentBits">
    <vt:lpwstr>2</vt:lpwstr>
  </property>
</Properties>
</file>